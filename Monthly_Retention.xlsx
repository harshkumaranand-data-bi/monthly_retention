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9204"/>
  </bookViews>
  <sheets>
    <sheet name="Monthly_Cohort_&amp;_Matrix" sheetId="1" r:id="rId1"/>
    <sheet name="Monthly_Retention_Numbers" sheetId="6" r:id="rId2"/>
    <sheet name="Monthly_Retention_Trend" sheetId="2" r:id="rId3"/>
    <sheet name="Users_Age_Bifurcation" sheetId="4" r:id="rId4"/>
  </sheets>
  <definedNames>
    <definedName name="_xlnm._FilterDatabase" localSheetId="0" hidden="1">'Monthly_Cohort_&amp;_Matrix'!$A$1:$N$25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<sst xmlns="http://schemas.openxmlformats.org/spreadsheetml/2006/main" count="132" uniqueCount="34">
  <si>
    <t>Reg. Month</t>
  </si>
  <si>
    <t>Txn. Month--&gt;&gt;</t>
  </si>
  <si>
    <t>Revenue</t>
  </si>
  <si>
    <t>Users</t>
  </si>
  <si>
    <t>Total</t>
  </si>
  <si>
    <t>New</t>
  </si>
  <si>
    <t>Old</t>
  </si>
  <si>
    <t>Users %</t>
  </si>
  <si>
    <t>New Users</t>
  </si>
  <si>
    <t>Old Users</t>
  </si>
  <si>
    <t>Revenue %</t>
  </si>
  <si>
    <t>RPU</t>
  </si>
  <si>
    <t>Overall Users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</si>
  <si>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</si>
  <si>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</si>
  <si>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</si>
  <si>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</si>
  <si>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</si>
  <si>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</si>
  <si>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</si>
  <si>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</si>
  <si>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</si>
  <si>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</si>
  <si>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</si>
  <si>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</si>
  <si>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New Users Rev.</t>
  </si>
  <si>
    <t>Txn. Month</t>
  </si>
  <si>
    <t>Total Users \ Age-&gt;</t>
  </si>
  <si>
    <t>Same Month</t>
  </si>
  <si>
    <t>1 Month Old</t>
  </si>
  <si>
    <t>2 Months Old</t>
  </si>
  <si>
    <t>3-5 Months Old</t>
  </si>
  <si>
    <t>6-11 Months Old</t>
  </si>
  <si>
    <t>Total Rev. \ Age-&gt;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</si>
</sst>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mmm/yy;@"/>
    <numFmt numFmtId="181" formatCode="0.0%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180" fontId="1" fillId="2" borderId="1" xfId="49" applyNumberFormat="1" applyFont="1" applyFill="1" applyBorder="1" applyAlignment="1">
      <alignment horizontal="center" vertical="center"/>
    </xf>
    <xf numFmtId="3" fontId="1" fillId="2" borderId="0" xfId="49" applyNumberFormat="1" applyFont="1" applyFill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9" fontId="0" fillId="0" borderId="0" xfId="0" applyNumberFormat="1" applyAlignment="1">
      <alignment horizontal="right" vertical="center"/>
    </xf>
    <xf numFmtId="180" fontId="1" fillId="2" borderId="3" xfId="49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right" vertical="center"/>
    </xf>
    <xf numFmtId="181" fontId="0" fillId="0" borderId="0" xfId="0" applyNumberFormat="1" applyAlignment="1">
      <alignment horizontal="right" vertical="center"/>
    </xf>
    <xf numFmtId="181" fontId="0" fillId="0" borderId="6" xfId="0" applyNumberFormat="1" applyBorder="1" applyAlignment="1">
      <alignment horizontal="right" vertical="center"/>
    </xf>
    <xf numFmtId="3" fontId="1" fillId="2" borderId="7" xfId="49" applyNumberFormat="1" applyFont="1" applyFill="1" applyBorder="1" applyAlignment="1">
      <alignment horizontal="center" vertical="center"/>
    </xf>
    <xf numFmtId="181" fontId="0" fillId="0" borderId="7" xfId="0" applyNumberFormat="1" applyBorder="1" applyAlignment="1">
      <alignment horizontal="right" vertical="center"/>
    </xf>
    <xf numFmtId="181" fontId="0" fillId="0" borderId="8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6" xfId="0" applyNumberFormat="1" applyBorder="1" applyAlignment="1">
      <alignment horizontal="right" vertical="center"/>
    </xf>
    <xf numFmtId="3" fontId="0" fillId="0" borderId="7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0" fontId="2" fillId="0" borderId="0" xfId="0" applyFont="1">
      <alignment vertical="center"/>
    </xf>
    <xf numFmtId="0" fontId="1" fillId="2" borderId="2" xfId="0" applyFont="1" applyFill="1" applyBorder="1">
      <alignment vertical="center"/>
    </xf>
    <xf numFmtId="180" fontId="1" fillId="2" borderId="2" xfId="49" applyNumberFormat="1" applyFont="1" applyFill="1" applyBorder="1" applyAlignment="1">
      <alignment vertical="center"/>
    </xf>
    <xf numFmtId="180" fontId="1" fillId="2" borderId="5" xfId="49" applyNumberFormat="1" applyFont="1" applyFill="1" applyBorder="1" applyAlignment="1">
      <alignment vertical="center"/>
    </xf>
    <xf numFmtId="180" fontId="1" fillId="2" borderId="4" xfId="49" applyNumberFormat="1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3" fontId="0" fillId="0" borderId="0" xfId="49" applyNumberFormat="1" applyFont="1" applyAlignment="1">
      <alignment vertical="center"/>
    </xf>
    <xf numFmtId="3" fontId="0" fillId="0" borderId="6" xfId="49" applyNumberFormat="1" applyFont="1" applyBorder="1" applyAlignment="1">
      <alignment vertical="center"/>
    </xf>
    <xf numFmtId="180" fontId="1" fillId="2" borderId="9" xfId="49" applyNumberFormat="1" applyFont="1" applyFill="1" applyBorder="1" applyAlignment="1">
      <alignment horizontal="center" vertical="center"/>
    </xf>
    <xf numFmtId="0" fontId="1" fillId="2" borderId="7" xfId="0" applyFont="1" applyFill="1" applyBorder="1">
      <alignment vertical="center"/>
    </xf>
    <xf numFmtId="3" fontId="0" fillId="0" borderId="7" xfId="49" applyNumberFormat="1" applyFont="1" applyBorder="1" applyAlignment="1">
      <alignment vertical="center"/>
    </xf>
    <xf numFmtId="3" fontId="0" fillId="0" borderId="8" xfId="49" applyNumberFormat="1" applyFont="1" applyBorder="1" applyAlignment="1">
      <alignment vertical="center"/>
    </xf>
    <xf numFmtId="180" fontId="0" fillId="0" borderId="0" xfId="49" applyNumberFormat="1" applyFont="1" applyAlignment="1">
      <alignment horizontal="center" vertical="center"/>
    </xf>
    <xf numFmtId="180" fontId="1" fillId="2" borderId="1" xfId="49" applyNumberFormat="1" applyFont="1" applyFill="1" applyBorder="1" applyAlignment="1">
      <alignment horizontal="right" vertical="center"/>
    </xf>
    <xf numFmtId="3" fontId="0" fillId="0" borderId="2" xfId="0" applyNumberFormat="1" applyBorder="1">
      <alignment vertical="center"/>
    </xf>
    <xf numFmtId="3" fontId="0" fillId="0" borderId="5" xfId="0" applyNumberFormat="1" applyBorder="1">
      <alignment vertical="center"/>
    </xf>
    <xf numFmtId="180" fontId="1" fillId="2" borderId="9" xfId="49" applyNumberFormat="1" applyFont="1" applyFill="1" applyBorder="1" applyAlignment="1">
      <alignment horizontal="right" vertical="center"/>
    </xf>
    <xf numFmtId="3" fontId="0" fillId="0" borderId="7" xfId="0" applyNumberFormat="1" applyBorder="1">
      <alignment vertical="center"/>
    </xf>
    <xf numFmtId="3" fontId="0" fillId="0" borderId="8" xfId="0" applyNumberFormat="1" applyBorder="1">
      <alignment vertical="center"/>
    </xf>
    <xf numFmtId="180" fontId="0" fillId="0" borderId="0" xfId="49" applyNumberFormat="1" applyFont="1" applyAlignment="1">
      <alignment horizontal="right" vertical="center"/>
    </xf>
    <xf numFmtId="180" fontId="1" fillId="2" borderId="4" xfId="49" applyNumberFormat="1" applyFont="1" applyFill="1" applyBorder="1" applyAlignment="1">
      <alignment horizontal="right" vertical="center"/>
    </xf>
    <xf numFmtId="3" fontId="0" fillId="0" borderId="0" xfId="0" applyNumberFormat="1">
      <alignment vertical="center"/>
    </xf>
    <xf numFmtId="3" fontId="0" fillId="0" borderId="6" xfId="0" applyNumberFormat="1" applyBorder="1">
      <alignment vertical="center"/>
    </xf>
    <xf numFmtId="9" fontId="0" fillId="0" borderId="7" xfId="0" applyNumberFormat="1" applyBorder="1">
      <alignment vertical="center"/>
    </xf>
    <xf numFmtId="9" fontId="0" fillId="0" borderId="8" xfId="0" applyNumberFormat="1" applyBorder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40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N2" sqref="N2"/>
    </sheetView>
  </sheetViews>
  <sheetFormatPr defaultColWidth="8.79279279279279" defaultRowHeight="14.4"/>
  <cols>
    <col min="1" max="1" width="12.981981981982" style="1" customWidth="1"/>
    <col min="2" max="2" width="15.0630630630631" customWidth="1"/>
    <col min="3" max="5" width="9.58558558558559" customWidth="1"/>
    <col min="6" max="14" width="11.1801801801802" customWidth="1"/>
  </cols>
  <sheetData>
    <row r="1" s="23" customFormat="1" spans="1:14">
      <c r="A1" s="3" t="s">
        <v>0</v>
      </c>
      <c r="B1" s="24" t="s">
        <v>1</v>
      </c>
      <c r="C1" s="25">
        <v>44652</v>
      </c>
      <c r="D1" s="25">
        <v>44682</v>
      </c>
      <c r="E1" s="25">
        <v>44713</v>
      </c>
      <c r="F1" s="25">
        <v>44743</v>
      </c>
      <c r="G1" s="25">
        <v>44774</v>
      </c>
      <c r="H1" s="25">
        <v>44805</v>
      </c>
      <c r="I1" s="25">
        <v>44835</v>
      </c>
      <c r="J1" s="25">
        <v>44866</v>
      </c>
      <c r="K1" s="25">
        <v>44896</v>
      </c>
      <c r="L1" s="25">
        <v>44927</v>
      </c>
      <c r="M1" s="25">
        <v>44958</v>
      </c>
      <c r="N1" s="26">
        <v>44986</v>
      </c>
    </row>
    <row r="2" spans="1:14">
      <c r="A2" s="27">
        <v>44652</v>
      </c>
      <c r="B2" s="28" t="s">
        <v>2</v>
      </c>
      <c r="C2" s="29">
        <v>3470489.01252315</v>
      </c>
      <c r="D2" s="29">
        <v>4531845.6734533</v>
      </c>
      <c r="E2" s="29">
        <v>2016024.71076145</v>
      </c>
      <c r="F2" s="29">
        <v>1479962.3009216</v>
      </c>
      <c r="G2" s="29">
        <v>1504660.37101978</v>
      </c>
      <c r="H2" s="29">
        <v>1611245.60055201</v>
      </c>
      <c r="I2" s="29">
        <v>1522136.73011474</v>
      </c>
      <c r="J2" s="29">
        <v>1431240.42008348</v>
      </c>
      <c r="K2" s="29">
        <v>1447305.17961859</v>
      </c>
      <c r="L2" s="29">
        <v>1569349.30059506</v>
      </c>
      <c r="M2" s="29">
        <v>1157821.02090095</v>
      </c>
      <c r="N2" s="30">
        <v>1613196.85185044</v>
      </c>
    </row>
    <row r="3" spans="1:14">
      <c r="A3" s="27"/>
      <c r="B3" s="28" t="s">
        <v>3</v>
      </c>
      <c r="C3" s="29">
        <v>11871</v>
      </c>
      <c r="D3" s="29">
        <v>1404</v>
      </c>
      <c r="E3" s="29">
        <v>643</v>
      </c>
      <c r="F3" s="29">
        <v>525</v>
      </c>
      <c r="G3" s="29">
        <v>341</v>
      </c>
      <c r="H3" s="29">
        <v>329</v>
      </c>
      <c r="I3" s="29">
        <v>328</v>
      </c>
      <c r="J3" s="29">
        <v>242</v>
      </c>
      <c r="K3" s="29">
        <v>228</v>
      </c>
      <c r="L3" s="29">
        <v>220</v>
      </c>
      <c r="M3" s="29">
        <v>179</v>
      </c>
      <c r="N3" s="30">
        <v>164</v>
      </c>
    </row>
    <row r="4" spans="1:14">
      <c r="A4" s="27">
        <v>44682</v>
      </c>
      <c r="B4" s="28" t="s">
        <v>2</v>
      </c>
      <c r="C4" s="29"/>
      <c r="D4" s="29">
        <v>5119928.17410458</v>
      </c>
      <c r="E4" s="29">
        <v>3251729.44022218</v>
      </c>
      <c r="F4" s="29">
        <v>2104764.61018048</v>
      </c>
      <c r="G4" s="29">
        <v>1837881.90972119</v>
      </c>
      <c r="H4" s="29">
        <v>1139201.34034503</v>
      </c>
      <c r="I4" s="29">
        <v>642896.149931936</v>
      </c>
      <c r="J4" s="29">
        <v>748966.780193157</v>
      </c>
      <c r="K4" s="29">
        <v>1110431.28040783</v>
      </c>
      <c r="L4" s="29">
        <v>1033822.59079574</v>
      </c>
      <c r="M4" s="29">
        <v>946760.520296775</v>
      </c>
      <c r="N4" s="30">
        <v>850348.780259529</v>
      </c>
    </row>
    <row r="5" spans="1:14">
      <c r="A5" s="27"/>
      <c r="B5" s="28" t="s">
        <v>3</v>
      </c>
      <c r="C5" s="29"/>
      <c r="D5" s="29">
        <v>15998</v>
      </c>
      <c r="E5" s="29">
        <v>1924</v>
      </c>
      <c r="F5" s="29">
        <v>916</v>
      </c>
      <c r="G5" s="29">
        <v>613</v>
      </c>
      <c r="H5" s="29">
        <v>484</v>
      </c>
      <c r="I5" s="29">
        <v>475</v>
      </c>
      <c r="J5" s="29">
        <v>358</v>
      </c>
      <c r="K5" s="29">
        <v>336</v>
      </c>
      <c r="L5" s="29">
        <v>313</v>
      </c>
      <c r="M5" s="29">
        <v>304</v>
      </c>
      <c r="N5" s="30">
        <v>273</v>
      </c>
    </row>
    <row r="6" spans="1:14">
      <c r="A6" s="27">
        <v>44713</v>
      </c>
      <c r="B6" s="28" t="s">
        <v>2</v>
      </c>
      <c r="C6" s="29"/>
      <c r="D6" s="29"/>
      <c r="E6" s="29">
        <v>3815355.2505326</v>
      </c>
      <c r="F6" s="29">
        <v>2577614.24978113</v>
      </c>
      <c r="G6" s="29">
        <v>1433445.3502219</v>
      </c>
      <c r="H6" s="29">
        <v>1390421.2397226</v>
      </c>
      <c r="I6" s="29">
        <v>1348763.14988678</v>
      </c>
      <c r="J6" s="29">
        <v>840880.320029724</v>
      </c>
      <c r="K6" s="29">
        <v>749196.500281943</v>
      </c>
      <c r="L6" s="29">
        <v>663578.600133976</v>
      </c>
      <c r="M6" s="29">
        <v>946472.019766629</v>
      </c>
      <c r="N6" s="30">
        <v>1186950.92926877</v>
      </c>
    </row>
    <row r="7" spans="1:14">
      <c r="A7" s="27"/>
      <c r="B7" s="28" t="s">
        <v>3</v>
      </c>
      <c r="C7" s="29"/>
      <c r="D7" s="29"/>
      <c r="E7" s="29">
        <v>19147</v>
      </c>
      <c r="F7" s="29">
        <v>2181</v>
      </c>
      <c r="G7" s="29">
        <v>693</v>
      </c>
      <c r="H7" s="29">
        <v>590</v>
      </c>
      <c r="I7" s="29">
        <v>507</v>
      </c>
      <c r="J7" s="29">
        <v>333</v>
      </c>
      <c r="K7" s="29">
        <v>303</v>
      </c>
      <c r="L7" s="29">
        <v>254</v>
      </c>
      <c r="M7" s="29">
        <v>264</v>
      </c>
      <c r="N7" s="30">
        <v>218</v>
      </c>
    </row>
    <row r="8" spans="1:14">
      <c r="A8" s="27">
        <v>44743</v>
      </c>
      <c r="B8" s="28" t="s">
        <v>2</v>
      </c>
      <c r="C8" s="29"/>
      <c r="D8" s="29"/>
      <c r="E8" s="29"/>
      <c r="F8" s="29">
        <v>4547888.81180353</v>
      </c>
      <c r="G8" s="29">
        <v>4166630.58124646</v>
      </c>
      <c r="H8" s="29">
        <v>2402552.60023555</v>
      </c>
      <c r="I8" s="29">
        <v>1811911.87067892</v>
      </c>
      <c r="J8" s="29">
        <v>2653527.65265263</v>
      </c>
      <c r="K8" s="29">
        <v>3125232.72152946</v>
      </c>
      <c r="L8" s="29">
        <v>2436043.38117559</v>
      </c>
      <c r="M8" s="29">
        <v>1559146.0617608</v>
      </c>
      <c r="N8" s="30">
        <v>2922084.19255183</v>
      </c>
    </row>
    <row r="9" spans="1:14">
      <c r="A9" s="27"/>
      <c r="B9" s="28" t="s">
        <v>3</v>
      </c>
      <c r="C9" s="29"/>
      <c r="D9" s="29"/>
      <c r="E9" s="29"/>
      <c r="F9" s="29">
        <v>19360</v>
      </c>
      <c r="G9" s="29">
        <v>1688</v>
      </c>
      <c r="H9" s="29">
        <v>831</v>
      </c>
      <c r="I9" s="29">
        <v>632</v>
      </c>
      <c r="J9" s="29">
        <v>405</v>
      </c>
      <c r="K9" s="29">
        <v>357</v>
      </c>
      <c r="L9" s="29">
        <v>325</v>
      </c>
      <c r="M9" s="29">
        <v>286</v>
      </c>
      <c r="N9" s="30">
        <v>243</v>
      </c>
    </row>
    <row r="10" spans="1:14">
      <c r="A10" s="27">
        <v>44774</v>
      </c>
      <c r="B10" s="28" t="s">
        <v>2</v>
      </c>
      <c r="C10" s="29"/>
      <c r="D10" s="29"/>
      <c r="E10" s="29"/>
      <c r="F10" s="29"/>
      <c r="G10" s="29">
        <v>2906573.54102523</v>
      </c>
      <c r="H10" s="29">
        <v>1774037.17019853</v>
      </c>
      <c r="I10" s="29">
        <v>1403062.74041794</v>
      </c>
      <c r="J10" s="29">
        <v>1113653.36103304</v>
      </c>
      <c r="K10" s="29">
        <v>1237597.13093476</v>
      </c>
      <c r="L10" s="29">
        <v>1538336.20036829</v>
      </c>
      <c r="M10" s="29">
        <v>705618.630102606</v>
      </c>
      <c r="N10" s="30">
        <v>926147.720271336</v>
      </c>
    </row>
    <row r="11" spans="1:14">
      <c r="A11" s="27"/>
      <c r="B11" s="28" t="s">
        <v>3</v>
      </c>
      <c r="C11" s="29"/>
      <c r="D11" s="29"/>
      <c r="E11" s="29"/>
      <c r="F11" s="29"/>
      <c r="G11" s="29">
        <v>18585</v>
      </c>
      <c r="H11" s="29">
        <v>1496</v>
      </c>
      <c r="I11" s="29">
        <v>726</v>
      </c>
      <c r="J11" s="29">
        <v>387</v>
      </c>
      <c r="K11" s="29">
        <v>366</v>
      </c>
      <c r="L11" s="29">
        <v>287</v>
      </c>
      <c r="M11" s="29">
        <v>237</v>
      </c>
      <c r="N11" s="30">
        <v>199</v>
      </c>
    </row>
    <row r="12" spans="1:14">
      <c r="A12" s="27">
        <v>44805</v>
      </c>
      <c r="B12" s="28" t="s">
        <v>2</v>
      </c>
      <c r="C12" s="29"/>
      <c r="D12" s="29"/>
      <c r="E12" s="29"/>
      <c r="F12" s="29"/>
      <c r="G12" s="29"/>
      <c r="H12" s="29">
        <v>2178295.91129921</v>
      </c>
      <c r="I12" s="29">
        <v>1319452.59017167</v>
      </c>
      <c r="J12" s="29">
        <v>937420.570062064</v>
      </c>
      <c r="K12" s="29">
        <v>779976.650216874</v>
      </c>
      <c r="L12" s="29">
        <v>1073896.00018495</v>
      </c>
      <c r="M12" s="29">
        <v>519091.13011504</v>
      </c>
      <c r="N12" s="30">
        <v>416146.640059093</v>
      </c>
    </row>
    <row r="13" spans="1:14">
      <c r="A13" s="27"/>
      <c r="B13" s="28" t="s">
        <v>3</v>
      </c>
      <c r="C13" s="29"/>
      <c r="D13" s="29"/>
      <c r="E13" s="29"/>
      <c r="F13" s="29"/>
      <c r="G13" s="29"/>
      <c r="H13" s="29">
        <v>13772</v>
      </c>
      <c r="I13" s="29">
        <v>1098</v>
      </c>
      <c r="J13" s="29">
        <v>451</v>
      </c>
      <c r="K13" s="29">
        <v>336</v>
      </c>
      <c r="L13" s="29">
        <v>265</v>
      </c>
      <c r="M13" s="29">
        <v>211</v>
      </c>
      <c r="N13" s="30">
        <v>172</v>
      </c>
    </row>
    <row r="14" spans="1:14">
      <c r="A14" s="27">
        <v>44835</v>
      </c>
      <c r="B14" s="28" t="s">
        <v>2</v>
      </c>
      <c r="C14" s="29"/>
      <c r="D14" s="29"/>
      <c r="E14" s="29"/>
      <c r="F14" s="29"/>
      <c r="G14" s="29"/>
      <c r="H14" s="29"/>
      <c r="I14" s="29">
        <v>2894310.36115145</v>
      </c>
      <c r="J14" s="29">
        <v>2422647.63887558</v>
      </c>
      <c r="K14" s="29">
        <v>1103806.59032509</v>
      </c>
      <c r="L14" s="29">
        <v>825014.410324434</v>
      </c>
      <c r="M14" s="29">
        <v>729020.050095037</v>
      </c>
      <c r="N14" s="30">
        <v>1049514.35065746</v>
      </c>
    </row>
    <row r="15" spans="1:14">
      <c r="A15" s="27"/>
      <c r="B15" s="28" t="s">
        <v>3</v>
      </c>
      <c r="C15" s="29"/>
      <c r="D15" s="29"/>
      <c r="E15" s="29"/>
      <c r="F15" s="29"/>
      <c r="G15" s="29"/>
      <c r="H15" s="29"/>
      <c r="I15" s="29">
        <v>10553</v>
      </c>
      <c r="J15" s="29">
        <v>952</v>
      </c>
      <c r="K15" s="29">
        <v>449</v>
      </c>
      <c r="L15" s="29">
        <v>234</v>
      </c>
      <c r="M15" s="29">
        <v>185</v>
      </c>
      <c r="N15" s="30">
        <v>147</v>
      </c>
    </row>
    <row r="16" spans="1:14">
      <c r="A16" s="27">
        <v>44866</v>
      </c>
      <c r="B16" s="28" t="s">
        <v>2</v>
      </c>
      <c r="C16" s="29"/>
      <c r="D16" s="29"/>
      <c r="E16" s="29"/>
      <c r="F16" s="29"/>
      <c r="G16" s="29"/>
      <c r="H16" s="29"/>
      <c r="I16" s="29"/>
      <c r="J16" s="29">
        <v>3252521.61156486</v>
      </c>
      <c r="K16" s="29">
        <v>2952210.67099827</v>
      </c>
      <c r="L16" s="29">
        <v>1582011.76025868</v>
      </c>
      <c r="M16" s="29">
        <v>1297248.36009054</v>
      </c>
      <c r="N16" s="30">
        <v>1838872.46080752</v>
      </c>
    </row>
    <row r="17" spans="1:14">
      <c r="A17" s="27"/>
      <c r="B17" s="28" t="s">
        <v>3</v>
      </c>
      <c r="C17" s="29"/>
      <c r="D17" s="29"/>
      <c r="E17" s="29"/>
      <c r="F17" s="29"/>
      <c r="G17" s="29"/>
      <c r="H17" s="29"/>
      <c r="I17" s="29"/>
      <c r="J17" s="29">
        <v>12935</v>
      </c>
      <c r="K17" s="29">
        <v>1222</v>
      </c>
      <c r="L17" s="29">
        <v>415</v>
      </c>
      <c r="M17" s="29">
        <v>273</v>
      </c>
      <c r="N17" s="30">
        <v>226</v>
      </c>
    </row>
    <row r="18" spans="1:14">
      <c r="A18" s="27">
        <v>44896</v>
      </c>
      <c r="B18" s="28" t="s">
        <v>2</v>
      </c>
      <c r="C18" s="29"/>
      <c r="D18" s="29"/>
      <c r="E18" s="29"/>
      <c r="F18" s="29"/>
      <c r="G18" s="29"/>
      <c r="H18" s="29"/>
      <c r="I18" s="29"/>
      <c r="J18" s="29"/>
      <c r="K18" s="29">
        <v>2753173.18996686</v>
      </c>
      <c r="L18" s="29">
        <v>4530061.69930018</v>
      </c>
      <c r="M18" s="29">
        <v>3856710.69037558</v>
      </c>
      <c r="N18" s="30">
        <v>3746109.34091866</v>
      </c>
    </row>
    <row r="19" spans="1:14">
      <c r="A19" s="27"/>
      <c r="B19" s="28" t="s">
        <v>3</v>
      </c>
      <c r="C19" s="29"/>
      <c r="D19" s="29"/>
      <c r="E19" s="29"/>
      <c r="F19" s="29"/>
      <c r="G19" s="29"/>
      <c r="H19" s="29"/>
      <c r="I19" s="29"/>
      <c r="J19" s="29"/>
      <c r="K19" s="29">
        <v>10997</v>
      </c>
      <c r="L19" s="29">
        <v>860</v>
      </c>
      <c r="M19" s="29">
        <v>373</v>
      </c>
      <c r="N19" s="30">
        <v>276</v>
      </c>
    </row>
    <row r="20" spans="1:14">
      <c r="A20" s="27">
        <v>44927</v>
      </c>
      <c r="B20" s="28" t="s">
        <v>2</v>
      </c>
      <c r="C20" s="29"/>
      <c r="D20" s="29"/>
      <c r="E20" s="29"/>
      <c r="F20" s="29"/>
      <c r="G20" s="29"/>
      <c r="H20" s="29"/>
      <c r="I20" s="29"/>
      <c r="J20" s="29"/>
      <c r="K20" s="29"/>
      <c r="L20" s="29">
        <v>3024628.88019842</v>
      </c>
      <c r="M20" s="29">
        <v>3455629.48960056</v>
      </c>
      <c r="N20" s="30">
        <v>2403373.87904484</v>
      </c>
    </row>
    <row r="21" spans="1:14">
      <c r="A21" s="27"/>
      <c r="B21" s="28" t="s">
        <v>3</v>
      </c>
      <c r="C21" s="29"/>
      <c r="D21" s="29"/>
      <c r="E21" s="29"/>
      <c r="F21" s="29"/>
      <c r="G21" s="29"/>
      <c r="H21" s="29"/>
      <c r="I21" s="29"/>
      <c r="J21" s="29"/>
      <c r="K21" s="29"/>
      <c r="L21" s="29">
        <v>11697</v>
      </c>
      <c r="M21" s="29">
        <v>996</v>
      </c>
      <c r="N21" s="30">
        <v>454</v>
      </c>
    </row>
    <row r="22" spans="1:14">
      <c r="A22" s="27">
        <v>44958</v>
      </c>
      <c r="B22" s="28" t="s">
        <v>2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>
        <v>3526821.3583757</v>
      </c>
      <c r="N22" s="30">
        <v>5357501.09718857</v>
      </c>
    </row>
    <row r="23" spans="1:14">
      <c r="A23" s="27"/>
      <c r="B23" s="28" t="s">
        <v>3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>
        <v>11724</v>
      </c>
      <c r="N23" s="30">
        <v>855</v>
      </c>
    </row>
    <row r="24" spans="1:14">
      <c r="A24" s="27">
        <v>44986</v>
      </c>
      <c r="B24" s="28" t="s">
        <v>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30">
        <v>2727451.83093454</v>
      </c>
    </row>
    <row r="25" spans="1:14">
      <c r="A25" s="31"/>
      <c r="B25" s="32" t="s">
        <v>3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4">
        <v>14383</v>
      </c>
    </row>
    <row r="26" spans="1:14">
      <c r="A26" s="35"/>
    </row>
    <row r="27" spans="1:14">
      <c r="A27" s="36" t="s">
        <v>4</v>
      </c>
      <c r="B27" s="24" t="s">
        <v>2</v>
      </c>
      <c r="C27" s="37">
        <f t="shared" ref="C27:N27" si="0">SUMIF($B2:$B25,"Revenue",C2:C25)</f>
        <v>3470489.01252315</v>
      </c>
      <c r="D27" s="37">
        <f t="shared" si="0"/>
        <v>9651773.84755788</v>
      </c>
      <c r="E27" s="37">
        <f t="shared" si="0"/>
        <v>9083109.40151623</v>
      </c>
      <c r="F27" s="37">
        <f t="shared" si="0"/>
        <v>10710229.9726867</v>
      </c>
      <c r="G27" s="37">
        <f t="shared" si="0"/>
        <v>11849191.7532346</v>
      </c>
      <c r="H27" s="37">
        <f t="shared" si="0"/>
        <v>10495753.8623529</v>
      </c>
      <c r="I27" s="37">
        <f t="shared" si="0"/>
        <v>10942533.5923534</v>
      </c>
      <c r="J27" s="37">
        <f t="shared" si="0"/>
        <v>13400858.3544945</v>
      </c>
      <c r="K27" s="37">
        <f t="shared" si="0"/>
        <v>15258929.9142797</v>
      </c>
      <c r="L27" s="37">
        <f t="shared" si="0"/>
        <v>18276742.8233353</v>
      </c>
      <c r="M27" s="37">
        <f t="shared" si="0"/>
        <v>18700339.3314802</v>
      </c>
      <c r="N27" s="38">
        <f t="shared" si="0"/>
        <v>25037698.0738126</v>
      </c>
    </row>
    <row r="28" spans="1:14">
      <c r="A28" s="39" t="s">
        <v>4</v>
      </c>
      <c r="B28" s="32" t="s">
        <v>3</v>
      </c>
      <c r="C28" s="40">
        <f t="shared" ref="C28:N28" si="1">SUMIF($B2:$B25,"Users",C2:C25)</f>
        <v>11871</v>
      </c>
      <c r="D28" s="40">
        <f t="shared" si="1"/>
        <v>17402</v>
      </c>
      <c r="E28" s="40">
        <f t="shared" si="1"/>
        <v>21714</v>
      </c>
      <c r="F28" s="40">
        <f t="shared" si="1"/>
        <v>22982</v>
      </c>
      <c r="G28" s="40">
        <f t="shared" si="1"/>
        <v>21920</v>
      </c>
      <c r="H28" s="40">
        <f t="shared" si="1"/>
        <v>17502</v>
      </c>
      <c r="I28" s="40">
        <f t="shared" si="1"/>
        <v>14319</v>
      </c>
      <c r="J28" s="40">
        <f t="shared" si="1"/>
        <v>16063</v>
      </c>
      <c r="K28" s="40">
        <f t="shared" si="1"/>
        <v>14594</v>
      </c>
      <c r="L28" s="40">
        <f t="shared" si="1"/>
        <v>14870</v>
      </c>
      <c r="M28" s="40">
        <f t="shared" si="1"/>
        <v>15032</v>
      </c>
      <c r="N28" s="41">
        <f t="shared" si="1"/>
        <v>17610</v>
      </c>
    </row>
    <row r="29" spans="1:14">
      <c r="A29" s="42"/>
    </row>
    <row r="30" spans="1:14">
      <c r="A30" s="36" t="s">
        <v>5</v>
      </c>
      <c r="B30" s="24" t="s">
        <v>3</v>
      </c>
      <c r="C30" s="37">
        <f ca="1" t="shared" ref="C30:N30" si="2">OFFSET($C$3,(COLUMN()-COLUMN($C$30))*2,(COLUMN()-COLUMN($C$30)))</f>
        <v>11871</v>
      </c>
      <c r="D30" s="37">
        <f ca="1" t="shared" si="2"/>
        <v>15998</v>
      </c>
      <c r="E30" s="37">
        <f ca="1" t="shared" si="2"/>
        <v>19147</v>
      </c>
      <c r="F30" s="37">
        <f ca="1" t="shared" si="2"/>
        <v>19360</v>
      </c>
      <c r="G30" s="37">
        <f ca="1" t="shared" si="2"/>
        <v>18585</v>
      </c>
      <c r="H30" s="37">
        <f ca="1" t="shared" si="2"/>
        <v>13772</v>
      </c>
      <c r="I30" s="37">
        <f ca="1" t="shared" si="2"/>
        <v>10553</v>
      </c>
      <c r="J30" s="37">
        <f ca="1" t="shared" si="2"/>
        <v>12935</v>
      </c>
      <c r="K30" s="37">
        <f ca="1" t="shared" si="2"/>
        <v>10997</v>
      </c>
      <c r="L30" s="37">
        <f ca="1" t="shared" si="2"/>
        <v>11697</v>
      </c>
      <c r="M30" s="37">
        <f ca="1" t="shared" si="2"/>
        <v>11724</v>
      </c>
      <c r="N30" s="38">
        <f ca="1" t="shared" si="2"/>
        <v>14383</v>
      </c>
    </row>
    <row r="31" spans="1:14">
      <c r="A31" s="43" t="s">
        <v>6</v>
      </c>
      <c r="B31" s="28" t="s">
        <v>3</v>
      </c>
      <c r="C31" s="44">
        <f ca="1" t="shared" ref="C31:N31" si="3">C28-C30</f>
        <v>0</v>
      </c>
      <c r="D31" s="44">
        <f ca="1" t="shared" si="3"/>
        <v>1404</v>
      </c>
      <c r="E31" s="44">
        <f ca="1" t="shared" si="3"/>
        <v>2567</v>
      </c>
      <c r="F31" s="44">
        <f ca="1" t="shared" si="3"/>
        <v>3622</v>
      </c>
      <c r="G31" s="44">
        <f ca="1" t="shared" si="3"/>
        <v>3335</v>
      </c>
      <c r="H31" s="44">
        <f ca="1" t="shared" si="3"/>
        <v>3730</v>
      </c>
      <c r="I31" s="44">
        <f ca="1" t="shared" si="3"/>
        <v>3766</v>
      </c>
      <c r="J31" s="44">
        <f ca="1" t="shared" si="3"/>
        <v>3128</v>
      </c>
      <c r="K31" s="44">
        <f ca="1" t="shared" si="3"/>
        <v>3597</v>
      </c>
      <c r="L31" s="44">
        <f ca="1" t="shared" si="3"/>
        <v>3173</v>
      </c>
      <c r="M31" s="44">
        <f ca="1" t="shared" si="3"/>
        <v>3308</v>
      </c>
      <c r="N31" s="45">
        <f ca="1" t="shared" si="3"/>
        <v>3227</v>
      </c>
    </row>
    <row r="32" spans="1:14">
      <c r="A32" s="43" t="s">
        <v>6</v>
      </c>
      <c r="B32" s="32" t="s">
        <v>7</v>
      </c>
      <c r="C32" s="46">
        <f ca="1" t="shared" ref="C32:N32" si="4">C31/C28</f>
        <v>0</v>
      </c>
      <c r="D32" s="46">
        <f ca="1" t="shared" si="4"/>
        <v>0.0806803815653373</v>
      </c>
      <c r="E32" s="46">
        <f ca="1" t="shared" si="4"/>
        <v>0.118218660771852</v>
      </c>
      <c r="F32" s="46">
        <f ca="1" t="shared" si="4"/>
        <v>0.157601601253155</v>
      </c>
      <c r="G32" s="46">
        <f ca="1" t="shared" si="4"/>
        <v>0.152144160583942</v>
      </c>
      <c r="H32" s="46">
        <f ca="1" t="shared" si="4"/>
        <v>0.213118500742772</v>
      </c>
      <c r="I32" s="46">
        <f ca="1" t="shared" si="4"/>
        <v>0.263007193239751</v>
      </c>
      <c r="J32" s="46">
        <f ca="1" t="shared" si="4"/>
        <v>0.194733237875864</v>
      </c>
      <c r="K32" s="46">
        <f ca="1" t="shared" si="4"/>
        <v>0.246471152528436</v>
      </c>
      <c r="L32" s="46">
        <f ca="1" t="shared" si="4"/>
        <v>0.213382649630128</v>
      </c>
      <c r="M32" s="46">
        <f ca="1" t="shared" si="4"/>
        <v>0.220063863757318</v>
      </c>
      <c r="N32" s="47">
        <f ca="1" t="shared" si="4"/>
        <v>0.183248154457694</v>
      </c>
    </row>
    <row r="33" spans="1:14">
      <c r="A33" s="42"/>
    </row>
    <row r="34" spans="1:14">
      <c r="A34" s="36" t="s">
        <v>8</v>
      </c>
      <c r="B34" s="24" t="s">
        <v>2</v>
      </c>
      <c r="C34" s="37">
        <f ca="1" t="shared" ref="C34:N34" si="5">OFFSET($C$2,(COLUMN()-COLUMN($C$34))*2,(COLUMN()-COLUMN($C$34)))</f>
        <v>3470489.01252315</v>
      </c>
      <c r="D34" s="37">
        <f ca="1" t="shared" si="5"/>
        <v>5119928.17410458</v>
      </c>
      <c r="E34" s="37">
        <f ca="1" t="shared" si="5"/>
        <v>3815355.2505326</v>
      </c>
      <c r="F34" s="37">
        <f ca="1" t="shared" si="5"/>
        <v>4547888.81180353</v>
      </c>
      <c r="G34" s="37">
        <f ca="1" t="shared" si="5"/>
        <v>2906573.54102523</v>
      </c>
      <c r="H34" s="37">
        <f ca="1" t="shared" si="5"/>
        <v>2178295.91129921</v>
      </c>
      <c r="I34" s="37">
        <f ca="1" t="shared" si="5"/>
        <v>2894310.36115145</v>
      </c>
      <c r="J34" s="37">
        <f ca="1" t="shared" si="5"/>
        <v>3252521.61156486</v>
      </c>
      <c r="K34" s="37">
        <f ca="1" t="shared" si="5"/>
        <v>2753173.18996686</v>
      </c>
      <c r="L34" s="37">
        <f ca="1" t="shared" si="5"/>
        <v>3024628.88019842</v>
      </c>
      <c r="M34" s="37">
        <f ca="1" t="shared" si="5"/>
        <v>3526821.3583757</v>
      </c>
      <c r="N34" s="38">
        <f ca="1" t="shared" si="5"/>
        <v>2727451.83093454</v>
      </c>
    </row>
    <row r="35" spans="1:14">
      <c r="A35" s="43" t="s">
        <v>9</v>
      </c>
      <c r="B35" s="28" t="s">
        <v>2</v>
      </c>
      <c r="C35" s="44">
        <f ca="1" t="shared" ref="C35:N35" si="6">C27-C34</f>
        <v>0</v>
      </c>
      <c r="D35" s="44">
        <f ca="1" t="shared" si="6"/>
        <v>4531845.6734533</v>
      </c>
      <c r="E35" s="44">
        <f ca="1" t="shared" si="6"/>
        <v>5267754.15098363</v>
      </c>
      <c r="F35" s="44">
        <f ca="1" t="shared" si="6"/>
        <v>6162341.16088317</v>
      </c>
      <c r="G35" s="44">
        <f ca="1" t="shared" si="6"/>
        <v>8942618.21220937</v>
      </c>
      <c r="H35" s="44">
        <f ca="1" t="shared" si="6"/>
        <v>8317457.95105369</v>
      </c>
      <c r="I35" s="44">
        <f ca="1" t="shared" si="6"/>
        <v>8048223.23120195</v>
      </c>
      <c r="J35" s="44">
        <f ca="1" t="shared" si="6"/>
        <v>10148336.7429296</v>
      </c>
      <c r="K35" s="44">
        <f ca="1" t="shared" si="6"/>
        <v>12505756.7243128</v>
      </c>
      <c r="L35" s="44">
        <f ca="1" t="shared" si="6"/>
        <v>15252113.9431369</v>
      </c>
      <c r="M35" s="44">
        <f ca="1" t="shared" si="6"/>
        <v>15173517.9731045</v>
      </c>
      <c r="N35" s="45">
        <f ca="1" t="shared" si="6"/>
        <v>22310246.2428781</v>
      </c>
    </row>
    <row r="36" spans="1:14">
      <c r="A36" s="43" t="s">
        <v>9</v>
      </c>
      <c r="B36" s="24" t="s">
        <v>10</v>
      </c>
      <c r="C36" s="46">
        <f ca="1">C35/C27</f>
        <v>0</v>
      </c>
      <c r="D36" s="46">
        <f ca="1" t="shared" ref="C36:N36" si="7">D35/D27</f>
        <v>0.469535004138121</v>
      </c>
      <c r="E36" s="46">
        <f ca="1" t="shared" si="7"/>
        <v>0.579950534351628</v>
      </c>
      <c r="F36" s="46">
        <f ca="1" t="shared" si="7"/>
        <v>0.575369639736814</v>
      </c>
      <c r="G36" s="46">
        <f ca="1" t="shared" si="7"/>
        <v>0.754702801544942</v>
      </c>
      <c r="H36" s="46">
        <f ca="1" t="shared" si="7"/>
        <v>0.792459318323716</v>
      </c>
      <c r="I36" s="46">
        <f ca="1" t="shared" si="7"/>
        <v>0.735499065483886</v>
      </c>
      <c r="J36" s="46">
        <f ca="1" t="shared" si="7"/>
        <v>0.75729005370212</v>
      </c>
      <c r="K36" s="46">
        <f ca="1" t="shared" si="7"/>
        <v>0.819569707349506</v>
      </c>
      <c r="L36" s="46">
        <f ca="1" t="shared" si="7"/>
        <v>0.83450941398942</v>
      </c>
      <c r="M36" s="46">
        <f ca="1" t="shared" si="7"/>
        <v>0.811403349647317</v>
      </c>
      <c r="N36" s="47">
        <f ca="1" t="shared" si="7"/>
        <v>0.891066190554185</v>
      </c>
    </row>
    <row r="37" spans="1:14">
      <c r="A37" s="42"/>
    </row>
    <row r="38" spans="1:14">
      <c r="A38" s="36" t="s">
        <v>8</v>
      </c>
      <c r="B38" s="24" t="s">
        <v>11</v>
      </c>
      <c r="C38" s="37">
        <f ca="1" t="shared" ref="C38:N38" si="8">C34/C30</f>
        <v>292.350182168575</v>
      </c>
      <c r="D38" s="37">
        <f ca="1" t="shared" si="8"/>
        <v>320.035515320951</v>
      </c>
      <c r="E38" s="37">
        <f ca="1" t="shared" si="8"/>
        <v>199.266477805014</v>
      </c>
      <c r="F38" s="37">
        <f ca="1" t="shared" si="8"/>
        <v>234.911612179934</v>
      </c>
      <c r="G38" s="37">
        <f ca="1" t="shared" si="8"/>
        <v>156.393518484005</v>
      </c>
      <c r="H38" s="37">
        <f ca="1" t="shared" si="8"/>
        <v>158.168451299681</v>
      </c>
      <c r="I38" s="37">
        <f ca="1" t="shared" si="8"/>
        <v>274.26422450028</v>
      </c>
      <c r="J38" s="37">
        <f ca="1" t="shared" si="8"/>
        <v>251.451226251632</v>
      </c>
      <c r="K38" s="37">
        <f ca="1" t="shared" si="8"/>
        <v>250.356750929059</v>
      </c>
      <c r="L38" s="37">
        <f ca="1" t="shared" si="8"/>
        <v>258.581591878124</v>
      </c>
      <c r="M38" s="37">
        <f ca="1" t="shared" si="8"/>
        <v>300.820654927985</v>
      </c>
      <c r="N38" s="38">
        <f ca="1" t="shared" si="8"/>
        <v>189.630246188872</v>
      </c>
    </row>
    <row r="39" spans="1:14">
      <c r="A39" s="43" t="s">
        <v>9</v>
      </c>
      <c r="B39" s="28" t="s">
        <v>11</v>
      </c>
      <c r="C39" s="44">
        <f ca="1">IFERROR(C35/C31,0)</f>
        <v>0</v>
      </c>
      <c r="D39" s="44">
        <f ca="1" t="shared" ref="C39:N39" si="9">D35/D31</f>
        <v>3227.81030872742</v>
      </c>
      <c r="E39" s="44">
        <f ca="1" t="shared" si="9"/>
        <v>2052.10523996246</v>
      </c>
      <c r="F39" s="44">
        <f ca="1" t="shared" si="9"/>
        <v>1701.36420786393</v>
      </c>
      <c r="G39" s="44">
        <f ca="1" t="shared" si="9"/>
        <v>2681.44474129216</v>
      </c>
      <c r="H39" s="44">
        <f ca="1" t="shared" si="9"/>
        <v>2229.88148821815</v>
      </c>
      <c r="I39" s="44">
        <f ca="1" t="shared" si="9"/>
        <v>2137.07467636802</v>
      </c>
      <c r="J39" s="44">
        <f ca="1" t="shared" si="9"/>
        <v>3244.35317868595</v>
      </c>
      <c r="K39" s="44">
        <f ca="1" t="shared" si="9"/>
        <v>3476.71857779061</v>
      </c>
      <c r="L39" s="44">
        <f ca="1" t="shared" si="9"/>
        <v>4806.84334797885</v>
      </c>
      <c r="M39" s="44">
        <f ca="1" t="shared" si="9"/>
        <v>4586.91595317548</v>
      </c>
      <c r="N39" s="45">
        <f ca="1" t="shared" si="9"/>
        <v>6913.61829652249</v>
      </c>
    </row>
    <row r="40" spans="1:14">
      <c r="A40" s="39" t="s">
        <v>12</v>
      </c>
      <c r="B40" s="32" t="s">
        <v>11</v>
      </c>
      <c r="C40" s="40">
        <f t="shared" ref="C40:N40" si="10">C27/C28</f>
        <v>292.350182168575</v>
      </c>
      <c r="D40" s="40">
        <f t="shared" si="10"/>
        <v>554.635895159055</v>
      </c>
      <c r="E40" s="40">
        <f t="shared" si="10"/>
        <v>418.306594893443</v>
      </c>
      <c r="F40" s="40">
        <f t="shared" si="10"/>
        <v>466.026889421579</v>
      </c>
      <c r="G40" s="40">
        <f t="shared" si="10"/>
        <v>540.565317209606</v>
      </c>
      <c r="H40" s="40">
        <f t="shared" si="10"/>
        <v>599.688827697002</v>
      </c>
      <c r="I40" s="40">
        <f t="shared" si="10"/>
        <v>764.196772983688</v>
      </c>
      <c r="J40" s="40">
        <f t="shared" si="10"/>
        <v>834.268714094163</v>
      </c>
      <c r="K40" s="40">
        <f t="shared" si="10"/>
        <v>1045.56186886938</v>
      </c>
      <c r="L40" s="40">
        <f t="shared" si="10"/>
        <v>1229.10173660628</v>
      </c>
      <c r="M40" s="40">
        <f t="shared" si="10"/>
        <v>1244.0353466924</v>
      </c>
      <c r="N40" s="40">
        <f t="shared" si="10"/>
        <v>1421.7886470081</v>
      </c>
    </row>
  </sheetData>
  <conditionalFormatting sqref="C2:N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N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N4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N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N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N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:N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:N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:N1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:N1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:N1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3:N1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N1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:N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6:N1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:N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8:N1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9:N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:N2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:N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:N2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3:N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N27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8:N28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0:N30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N31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:N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N32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:N3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N35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:N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N36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8:N38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:N39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N39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:N40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:C32 C3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 gridLines="1"/>
  <pageMargins left="0.25" right="0.25" top="0.75" bottom="0.75" header="0.3" footer="0.3"/>
  <pageSetup paperSize="5" scale="86" orientation="landscape" horizontalDpi="600"/>
  <headerFooter/>
  <ignoredErrors>
    <ignoredError sqref="C1:N1 A2:N11 A12:B12 D12:N12 A13:N28 A37:N37 A33:N3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8"/>
  <sheetViews>
    <sheetView workbookViewId="0">
      <selection activeCell="A1" sqref="A1"/>
    </sheetView>
  </sheetViews>
  <sheetFormatPr defaultColWidth="8.79279279279279" defaultRowHeight="14.4"/>
  <cols>
    <col min="1" max="2" width="15.3603603603604" style="1" customWidth="1"/>
    <col min="3" max="14" width="8.87387387387387" style="2" customWidth="1"/>
  </cols>
  <sheetData>
    <row r="1" spans="1:14">
      <c r="A1" s="3" t="s">
        <v>0</v>
      </c>
      <c r="B1" s="4" t="s">
        <v>8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13" t="s">
        <v>24</v>
      </c>
    </row>
    <row r="2" spans="1:14">
      <c r="A2" s="6">
        <v>44652</v>
      </c>
      <c r="B2" s="7" cm="1">
        <f ca="1" t="array" ref="B2:B13">TRANSPOSE('Monthly_Cohort_&amp;_Matrix'!C30:N30)</f>
        <v>11871</v>
      </c>
      <c r="C2" s="19" cm="1">
        <f ca="1" t="array" ref="C2">IFERROR(INDEX('Monthly_Cohort_&amp;_Matrix'!$C:$N,(ROW()-2)*2+3,COLUMN()+ROW()-4),"")</f>
        <v>11871</v>
      </c>
      <c r="D2" s="19" cm="1">
        <f ca="1" t="array" ref="D2">IFERROR(INDEX('Monthly_Cohort_&amp;_Matrix'!$C:$N,(ROW()-2)*2+3,COLUMN()+ROW()-4),"")</f>
        <v>1404</v>
      </c>
      <c r="E2" s="19" cm="1">
        <f ca="1" t="array" ref="E2">IFERROR(INDEX('Monthly_Cohort_&amp;_Matrix'!$C:$N,(ROW()-2)*2+3,COLUMN()+ROW()-4),"")</f>
        <v>643</v>
      </c>
      <c r="F2" s="19" cm="1">
        <f ca="1" t="array" ref="F2">IFERROR(INDEX('Monthly_Cohort_&amp;_Matrix'!$C:$N,(ROW()-2)*2+3,COLUMN()+ROW()-4),"")</f>
        <v>525</v>
      </c>
      <c r="G2" s="19" cm="1">
        <f ca="1" t="array" ref="G2">IFERROR(INDEX('Monthly_Cohort_&amp;_Matrix'!$C:$N,(ROW()-2)*2+3,COLUMN()+ROW()-4),"")</f>
        <v>341</v>
      </c>
      <c r="H2" s="19" cm="1">
        <f ca="1" t="array" ref="H2">IFERROR(INDEX('Monthly_Cohort_&amp;_Matrix'!$C:$N,(ROW()-2)*2+3,COLUMN()+ROW()-4),"")</f>
        <v>329</v>
      </c>
      <c r="I2" s="19" cm="1">
        <f ca="1" t="array" ref="I2">IFERROR(INDEX('Monthly_Cohort_&amp;_Matrix'!$C:$N,(ROW()-2)*2+3,COLUMN()+ROW()-4),"")</f>
        <v>328</v>
      </c>
      <c r="J2" s="19" cm="1">
        <f ca="1" t="array" ref="J2">IFERROR(INDEX('Monthly_Cohort_&amp;_Matrix'!$C:$N,(ROW()-2)*2+3,COLUMN()+ROW()-4),"")</f>
        <v>242</v>
      </c>
      <c r="K2" s="19" cm="1">
        <f ca="1" t="array" ref="K2">IFERROR(INDEX('Monthly_Cohort_&amp;_Matrix'!$C:$N,(ROW()-2)*2+3,COLUMN()+ROW()-4),"")</f>
        <v>228</v>
      </c>
      <c r="L2" s="19" cm="1">
        <f ca="1" t="array" ref="L2">IFERROR(INDEX('Monthly_Cohort_&amp;_Matrix'!$C:$N,(ROW()-2)*2+3,COLUMN()+ROW()-4),"")</f>
        <v>220</v>
      </c>
      <c r="M2" s="19" cm="1">
        <f ca="1" t="array" ref="M2">IFERROR(INDEX('Monthly_Cohort_&amp;_Matrix'!$C:$N,(ROW()-2)*2+3,COLUMN()+ROW()-4),"")</f>
        <v>179</v>
      </c>
      <c r="N2" s="20" cm="1">
        <f ca="1" t="array" ref="N2">IFERROR(INDEX('Monthly_Cohort_&amp;_Matrix'!$C:$N,(ROW()-2)*2+3,COLUMN()+ROW()-4),"")</f>
        <v>164</v>
      </c>
    </row>
    <row r="3" spans="1:14">
      <c r="A3" s="6">
        <v>44682</v>
      </c>
      <c r="B3" s="7">
        <v>15998</v>
      </c>
      <c r="C3" s="19" cm="1">
        <f ca="1" t="array" ref="C3">IFERROR(INDEX('Monthly_Cohort_&amp;_Matrix'!$C:$N,(ROW()-2)*2+3,COLUMN()+ROW()-4),"")</f>
        <v>15998</v>
      </c>
      <c r="D3" s="19" cm="1">
        <f ca="1" t="array" ref="D3">IFERROR(INDEX('Monthly_Cohort_&amp;_Matrix'!$C:$N,(ROW()-2)*2+3,COLUMN()+ROW()-4),"")</f>
        <v>1924</v>
      </c>
      <c r="E3" s="19" cm="1">
        <f ca="1" t="array" ref="E3">IFERROR(INDEX('Monthly_Cohort_&amp;_Matrix'!$C:$N,(ROW()-2)*2+3,COLUMN()+ROW()-4),"")</f>
        <v>916</v>
      </c>
      <c r="F3" s="19" cm="1">
        <f ca="1" t="array" ref="F3">IFERROR(INDEX('Monthly_Cohort_&amp;_Matrix'!$C:$N,(ROW()-2)*2+3,COLUMN()+ROW()-4),"")</f>
        <v>613</v>
      </c>
      <c r="G3" s="19" cm="1">
        <f ca="1" t="array" ref="G3">IFERROR(INDEX('Monthly_Cohort_&amp;_Matrix'!$C:$N,(ROW()-2)*2+3,COLUMN()+ROW()-4),"")</f>
        <v>484</v>
      </c>
      <c r="H3" s="19" cm="1">
        <f ca="1" t="array" ref="H3">IFERROR(INDEX('Monthly_Cohort_&amp;_Matrix'!$C:$N,(ROW()-2)*2+3,COLUMN()+ROW()-4),"")</f>
        <v>475</v>
      </c>
      <c r="I3" s="19" cm="1">
        <f ca="1" t="array" ref="I3">IFERROR(INDEX('Monthly_Cohort_&amp;_Matrix'!$C:$N,(ROW()-2)*2+3,COLUMN()+ROW()-4),"")</f>
        <v>358</v>
      </c>
      <c r="J3" s="19" cm="1">
        <f ca="1" t="array" ref="J3">IFERROR(INDEX('Monthly_Cohort_&amp;_Matrix'!$C:$N,(ROW()-2)*2+3,COLUMN()+ROW()-4),"")</f>
        <v>336</v>
      </c>
      <c r="K3" s="19" cm="1">
        <f ca="1" t="array" ref="K3">IFERROR(INDEX('Monthly_Cohort_&amp;_Matrix'!$C:$N,(ROW()-2)*2+3,COLUMN()+ROW()-4),"")</f>
        <v>313</v>
      </c>
      <c r="L3" s="19" cm="1">
        <f ca="1" t="array" ref="L3">IFERROR(INDEX('Monthly_Cohort_&amp;_Matrix'!$C:$N,(ROW()-2)*2+3,COLUMN()+ROW()-4),"")</f>
        <v>304</v>
      </c>
      <c r="M3" s="19" cm="1">
        <f ca="1" t="array" ref="M3">IFERROR(INDEX('Monthly_Cohort_&amp;_Matrix'!$C:$N,(ROW()-2)*2+3,COLUMN()+ROW()-4),"")</f>
        <v>273</v>
      </c>
      <c r="N3" s="20" t="str" cm="1">
        <f ca="1" t="array" ref="N3">IFERROR(INDEX('Monthly_Cohort_&amp;_Matrix'!$C:$N,(ROW()-2)*2+3,COLUMN()+ROW()-4),"")</f>
        <v/>
      </c>
    </row>
    <row r="4" spans="1:14">
      <c r="A4" s="6">
        <v>44713</v>
      </c>
      <c r="B4" s="7">
        <v>19147</v>
      </c>
      <c r="C4" s="19" cm="1">
        <f ca="1" t="array" ref="C4">IFERROR(INDEX('Monthly_Cohort_&amp;_Matrix'!$C:$N,(ROW()-2)*2+3,COLUMN()+ROW()-4),"")</f>
        <v>19147</v>
      </c>
      <c r="D4" s="19" cm="1">
        <f ca="1" t="array" ref="D4">IFERROR(INDEX('Monthly_Cohort_&amp;_Matrix'!$C:$N,(ROW()-2)*2+3,COLUMN()+ROW()-4),"")</f>
        <v>2181</v>
      </c>
      <c r="E4" s="19" cm="1">
        <f ca="1" t="array" ref="E4">IFERROR(INDEX('Monthly_Cohort_&amp;_Matrix'!$C:$N,(ROW()-2)*2+3,COLUMN()+ROW()-4),"")</f>
        <v>693</v>
      </c>
      <c r="F4" s="19" cm="1">
        <f ca="1" t="array" ref="F4">IFERROR(INDEX('Monthly_Cohort_&amp;_Matrix'!$C:$N,(ROW()-2)*2+3,COLUMN()+ROW()-4),"")</f>
        <v>590</v>
      </c>
      <c r="G4" s="19" cm="1">
        <f ca="1" t="array" ref="G4">IFERROR(INDEX('Monthly_Cohort_&amp;_Matrix'!$C:$N,(ROW()-2)*2+3,COLUMN()+ROW()-4),"")</f>
        <v>507</v>
      </c>
      <c r="H4" s="19" cm="1">
        <f ca="1" t="array" ref="H4">IFERROR(INDEX('Monthly_Cohort_&amp;_Matrix'!$C:$N,(ROW()-2)*2+3,COLUMN()+ROW()-4),"")</f>
        <v>333</v>
      </c>
      <c r="I4" s="19" cm="1">
        <f ca="1" t="array" ref="I4">IFERROR(INDEX('Monthly_Cohort_&amp;_Matrix'!$C:$N,(ROW()-2)*2+3,COLUMN()+ROW()-4),"")</f>
        <v>303</v>
      </c>
      <c r="J4" s="19" cm="1">
        <f ca="1" t="array" ref="J4">IFERROR(INDEX('Monthly_Cohort_&amp;_Matrix'!$C:$N,(ROW()-2)*2+3,COLUMN()+ROW()-4),"")</f>
        <v>254</v>
      </c>
      <c r="K4" s="19" cm="1">
        <f ca="1" t="array" ref="K4">IFERROR(INDEX('Monthly_Cohort_&amp;_Matrix'!$C:$N,(ROW()-2)*2+3,COLUMN()+ROW()-4),"")</f>
        <v>264</v>
      </c>
      <c r="L4" s="19" cm="1">
        <f ca="1" t="array" ref="L4">IFERROR(INDEX('Monthly_Cohort_&amp;_Matrix'!$C:$N,(ROW()-2)*2+3,COLUMN()+ROW()-4),"")</f>
        <v>218</v>
      </c>
      <c r="M4" s="19" t="str" cm="1">
        <f ca="1" t="array" ref="M4">IFERROR(INDEX('Monthly_Cohort_&amp;_Matrix'!$C:$N,(ROW()-2)*2+3,COLUMN()+ROW()-4),"")</f>
        <v/>
      </c>
      <c r="N4" s="20" t="str" cm="1">
        <f ca="1" t="array" ref="N4">IFERROR(INDEX('Monthly_Cohort_&amp;_Matrix'!$C:$N,(ROW()-2)*2+3,COLUMN()+ROW()-4),"")</f>
        <v/>
      </c>
    </row>
    <row r="5" spans="1:14">
      <c r="A5" s="6">
        <v>44743</v>
      </c>
      <c r="B5" s="7">
        <v>19360</v>
      </c>
      <c r="C5" s="19" cm="1">
        <f ca="1" t="array" ref="C5">IFERROR(INDEX('Monthly_Cohort_&amp;_Matrix'!$C:$N,(ROW()-2)*2+3,COLUMN()+ROW()-4),"")</f>
        <v>19360</v>
      </c>
      <c r="D5" s="19" cm="1">
        <f ca="1" t="array" ref="D5">IFERROR(INDEX('Monthly_Cohort_&amp;_Matrix'!$C:$N,(ROW()-2)*2+3,COLUMN()+ROW()-4),"")</f>
        <v>1688</v>
      </c>
      <c r="E5" s="19" cm="1">
        <f ca="1" t="array" ref="E5">IFERROR(INDEX('Monthly_Cohort_&amp;_Matrix'!$C:$N,(ROW()-2)*2+3,COLUMN()+ROW()-4),"")</f>
        <v>831</v>
      </c>
      <c r="F5" s="19" cm="1">
        <f ca="1" t="array" ref="F5">IFERROR(INDEX('Monthly_Cohort_&amp;_Matrix'!$C:$N,(ROW()-2)*2+3,COLUMN()+ROW()-4),"")</f>
        <v>632</v>
      </c>
      <c r="G5" s="19" cm="1">
        <f ca="1" t="array" ref="G5">IFERROR(INDEX('Monthly_Cohort_&amp;_Matrix'!$C:$N,(ROW()-2)*2+3,COLUMN()+ROW()-4),"")</f>
        <v>405</v>
      </c>
      <c r="H5" s="19" cm="1">
        <f ca="1" t="array" ref="H5">IFERROR(INDEX('Monthly_Cohort_&amp;_Matrix'!$C:$N,(ROW()-2)*2+3,COLUMN()+ROW()-4),"")</f>
        <v>357</v>
      </c>
      <c r="I5" s="19" cm="1">
        <f ca="1" t="array" ref="I5">IFERROR(INDEX('Monthly_Cohort_&amp;_Matrix'!$C:$N,(ROW()-2)*2+3,COLUMN()+ROW()-4),"")</f>
        <v>325</v>
      </c>
      <c r="J5" s="19" cm="1">
        <f ca="1" t="array" ref="J5">IFERROR(INDEX('Monthly_Cohort_&amp;_Matrix'!$C:$N,(ROW()-2)*2+3,COLUMN()+ROW()-4),"")</f>
        <v>286</v>
      </c>
      <c r="K5" s="19" cm="1">
        <f ca="1" t="array" ref="K5">IFERROR(INDEX('Monthly_Cohort_&amp;_Matrix'!$C:$N,(ROW()-2)*2+3,COLUMN()+ROW()-4),"")</f>
        <v>243</v>
      </c>
      <c r="L5" s="19" t="str" cm="1">
        <f ca="1" t="array" ref="L5">IFERROR(INDEX('Monthly_Cohort_&amp;_Matrix'!$C:$N,(ROW()-2)*2+3,COLUMN()+ROW()-4),"")</f>
        <v/>
      </c>
      <c r="M5" s="19" t="str" cm="1">
        <f ca="1" t="array" ref="M5">IFERROR(INDEX('Monthly_Cohort_&amp;_Matrix'!$C:$N,(ROW()-2)*2+3,COLUMN()+ROW()-4),"")</f>
        <v/>
      </c>
      <c r="N5" s="20" t="str" cm="1">
        <f ca="1" t="array" ref="N5">IFERROR(INDEX('Monthly_Cohort_&amp;_Matrix'!$C:$N,(ROW()-2)*2+3,COLUMN()+ROW()-4),"")</f>
        <v/>
      </c>
    </row>
    <row r="6" spans="1:14">
      <c r="A6" s="6">
        <v>44774</v>
      </c>
      <c r="B6" s="7">
        <v>18585</v>
      </c>
      <c r="C6" s="19" cm="1">
        <f ca="1" t="array" ref="C6">IFERROR(INDEX('Monthly_Cohort_&amp;_Matrix'!$C:$N,(ROW()-2)*2+3,COLUMN()+ROW()-4),"")</f>
        <v>18585</v>
      </c>
      <c r="D6" s="19" cm="1">
        <f ca="1" t="array" ref="D6">IFERROR(INDEX('Monthly_Cohort_&amp;_Matrix'!$C:$N,(ROW()-2)*2+3,COLUMN()+ROW()-4),"")</f>
        <v>1496</v>
      </c>
      <c r="E6" s="19" cm="1">
        <f ca="1" t="array" ref="E6">IFERROR(INDEX('Monthly_Cohort_&amp;_Matrix'!$C:$N,(ROW()-2)*2+3,COLUMN()+ROW()-4),"")</f>
        <v>726</v>
      </c>
      <c r="F6" s="19" cm="1">
        <f ca="1" t="array" ref="F6">IFERROR(INDEX('Monthly_Cohort_&amp;_Matrix'!$C:$N,(ROW()-2)*2+3,COLUMN()+ROW()-4),"")</f>
        <v>387</v>
      </c>
      <c r="G6" s="19" cm="1">
        <f ca="1" t="array" ref="G6">IFERROR(INDEX('Monthly_Cohort_&amp;_Matrix'!$C:$N,(ROW()-2)*2+3,COLUMN()+ROW()-4),"")</f>
        <v>366</v>
      </c>
      <c r="H6" s="19" cm="1">
        <f ca="1" t="array" ref="H6">IFERROR(INDEX('Monthly_Cohort_&amp;_Matrix'!$C:$N,(ROW()-2)*2+3,COLUMN()+ROW()-4),"")</f>
        <v>287</v>
      </c>
      <c r="I6" s="19" cm="1">
        <f ca="1" t="array" ref="I6">IFERROR(INDEX('Monthly_Cohort_&amp;_Matrix'!$C:$N,(ROW()-2)*2+3,COLUMN()+ROW()-4),"")</f>
        <v>237</v>
      </c>
      <c r="J6" s="19" cm="1">
        <f ca="1" t="array" ref="J6">IFERROR(INDEX('Monthly_Cohort_&amp;_Matrix'!$C:$N,(ROW()-2)*2+3,COLUMN()+ROW()-4),"")</f>
        <v>199</v>
      </c>
      <c r="K6" s="19" t="str" cm="1">
        <f ca="1" t="array" ref="K6">IFERROR(INDEX('Monthly_Cohort_&amp;_Matrix'!$C:$N,(ROW()-2)*2+3,COLUMN()+ROW()-4),"")</f>
        <v/>
      </c>
      <c r="L6" s="19" t="str" cm="1">
        <f ca="1" t="array" ref="L6">IFERROR(INDEX('Monthly_Cohort_&amp;_Matrix'!$C:$N,(ROW()-2)*2+3,COLUMN()+ROW()-4),"")</f>
        <v/>
      </c>
      <c r="M6" s="19" t="str" cm="1">
        <f ca="1" t="array" ref="M6">IFERROR(INDEX('Monthly_Cohort_&amp;_Matrix'!$C:$N,(ROW()-2)*2+3,COLUMN()+ROW()-4),"")</f>
        <v/>
      </c>
      <c r="N6" s="20" t="str" cm="1">
        <f ca="1" t="array" ref="N6">IFERROR(INDEX('Monthly_Cohort_&amp;_Matrix'!$C:$N,(ROW()-2)*2+3,COLUMN()+ROW()-4),"")</f>
        <v/>
      </c>
    </row>
    <row r="7" spans="1:14">
      <c r="A7" s="6">
        <v>44805</v>
      </c>
      <c r="B7" s="7">
        <v>13772</v>
      </c>
      <c r="C7" s="19" cm="1">
        <f ca="1" t="array" ref="C7">IFERROR(INDEX('Monthly_Cohort_&amp;_Matrix'!$C:$N,(ROW()-2)*2+3,COLUMN()+ROW()-4),"")</f>
        <v>13772</v>
      </c>
      <c r="D7" s="19" cm="1">
        <f ca="1" t="array" ref="D7">IFERROR(INDEX('Monthly_Cohort_&amp;_Matrix'!$C:$N,(ROW()-2)*2+3,COLUMN()+ROW()-4),"")</f>
        <v>1098</v>
      </c>
      <c r="E7" s="19" cm="1">
        <f ca="1" t="array" ref="E7">IFERROR(INDEX('Monthly_Cohort_&amp;_Matrix'!$C:$N,(ROW()-2)*2+3,COLUMN()+ROW()-4),"")</f>
        <v>451</v>
      </c>
      <c r="F7" s="19" cm="1">
        <f ca="1" t="array" ref="F7">IFERROR(INDEX('Monthly_Cohort_&amp;_Matrix'!$C:$N,(ROW()-2)*2+3,COLUMN()+ROW()-4),"")</f>
        <v>336</v>
      </c>
      <c r="G7" s="19" cm="1">
        <f ca="1" t="array" ref="G7">IFERROR(INDEX('Monthly_Cohort_&amp;_Matrix'!$C:$N,(ROW()-2)*2+3,COLUMN()+ROW()-4),"")</f>
        <v>265</v>
      </c>
      <c r="H7" s="19" cm="1">
        <f ca="1" t="array" ref="H7">IFERROR(INDEX('Monthly_Cohort_&amp;_Matrix'!$C:$N,(ROW()-2)*2+3,COLUMN()+ROW()-4),"")</f>
        <v>211</v>
      </c>
      <c r="I7" s="19" cm="1">
        <f ca="1" t="array" ref="I7">IFERROR(INDEX('Monthly_Cohort_&amp;_Matrix'!$C:$N,(ROW()-2)*2+3,COLUMN()+ROW()-4),"")</f>
        <v>172</v>
      </c>
      <c r="J7" s="19" t="str" cm="1">
        <f ca="1" t="array" ref="J7">IFERROR(INDEX('Monthly_Cohort_&amp;_Matrix'!$C:$N,(ROW()-2)*2+3,COLUMN()+ROW()-4),"")</f>
        <v/>
      </c>
      <c r="K7" s="19" t="str" cm="1">
        <f ca="1" t="array" ref="K7">IFERROR(INDEX('Monthly_Cohort_&amp;_Matrix'!$C:$N,(ROW()-2)*2+3,COLUMN()+ROW()-4),"")</f>
        <v/>
      </c>
      <c r="L7" s="19" t="str" cm="1">
        <f ca="1" t="array" ref="L7">IFERROR(INDEX('Monthly_Cohort_&amp;_Matrix'!$C:$N,(ROW()-2)*2+3,COLUMN()+ROW()-4),"")</f>
        <v/>
      </c>
      <c r="M7" s="19" t="str" cm="1">
        <f ca="1" t="array" ref="M7">IFERROR(INDEX('Monthly_Cohort_&amp;_Matrix'!$C:$N,(ROW()-2)*2+3,COLUMN()+ROW()-4),"")</f>
        <v/>
      </c>
      <c r="N7" s="20" t="str" cm="1">
        <f ca="1" t="array" ref="N7">IFERROR(INDEX('Monthly_Cohort_&amp;_Matrix'!$C:$N,(ROW()-2)*2+3,COLUMN()+ROW()-4),"")</f>
        <v/>
      </c>
    </row>
    <row r="8" spans="1:14">
      <c r="A8" s="6">
        <v>44835</v>
      </c>
      <c r="B8" s="7">
        <v>10553</v>
      </c>
      <c r="C8" s="19" cm="1">
        <f ca="1" t="array" ref="C8">IFERROR(INDEX('Monthly_Cohort_&amp;_Matrix'!$C:$N,(ROW()-2)*2+3,COLUMN()+ROW()-4),"")</f>
        <v>10553</v>
      </c>
      <c r="D8" s="19" cm="1">
        <f ca="1" t="array" ref="D8">IFERROR(INDEX('Monthly_Cohort_&amp;_Matrix'!$C:$N,(ROW()-2)*2+3,COLUMN()+ROW()-4),"")</f>
        <v>952</v>
      </c>
      <c r="E8" s="19" cm="1">
        <f ca="1" t="array" ref="E8">IFERROR(INDEX('Monthly_Cohort_&amp;_Matrix'!$C:$N,(ROW()-2)*2+3,COLUMN()+ROW()-4),"")</f>
        <v>449</v>
      </c>
      <c r="F8" s="19" cm="1">
        <f ca="1" t="array" ref="F8">IFERROR(INDEX('Monthly_Cohort_&amp;_Matrix'!$C:$N,(ROW()-2)*2+3,COLUMN()+ROW()-4),"")</f>
        <v>234</v>
      </c>
      <c r="G8" s="19" cm="1">
        <f ca="1" t="array" ref="G8">IFERROR(INDEX('Monthly_Cohort_&amp;_Matrix'!$C:$N,(ROW()-2)*2+3,COLUMN()+ROW()-4),"")</f>
        <v>185</v>
      </c>
      <c r="H8" s="19" cm="1">
        <f ca="1" t="array" ref="H8">IFERROR(INDEX('Monthly_Cohort_&amp;_Matrix'!$C:$N,(ROW()-2)*2+3,COLUMN()+ROW()-4),"")</f>
        <v>147</v>
      </c>
      <c r="I8" s="19" t="str" cm="1">
        <f ca="1" t="array" ref="I8">IFERROR(INDEX('Monthly_Cohort_&amp;_Matrix'!$C:$N,(ROW()-2)*2+3,COLUMN()+ROW()-4),"")</f>
        <v/>
      </c>
      <c r="J8" s="19" t="str" cm="1">
        <f ca="1" t="array" ref="J8">IFERROR(INDEX('Monthly_Cohort_&amp;_Matrix'!$C:$N,(ROW()-2)*2+3,COLUMN()+ROW()-4),"")</f>
        <v/>
      </c>
      <c r="K8" s="19" t="str" cm="1">
        <f ca="1" t="array" ref="K8">IFERROR(INDEX('Monthly_Cohort_&amp;_Matrix'!$C:$N,(ROW()-2)*2+3,COLUMN()+ROW()-4),"")</f>
        <v/>
      </c>
      <c r="L8" s="19" t="str" cm="1">
        <f ca="1" t="array" ref="L8">IFERROR(INDEX('Monthly_Cohort_&amp;_Matrix'!$C:$N,(ROW()-2)*2+3,COLUMN()+ROW()-4),"")</f>
        <v/>
      </c>
      <c r="M8" s="19" t="str" cm="1">
        <f ca="1" t="array" ref="M8">IFERROR(INDEX('Monthly_Cohort_&amp;_Matrix'!$C:$N,(ROW()-2)*2+3,COLUMN()+ROW()-4),"")</f>
        <v/>
      </c>
      <c r="N8" s="20" t="str" cm="1">
        <f ca="1" t="array" ref="N8">IFERROR(INDEX('Monthly_Cohort_&amp;_Matrix'!$C:$N,(ROW()-2)*2+3,COLUMN()+ROW()-4),"")</f>
        <v/>
      </c>
    </row>
    <row r="9" spans="1:14">
      <c r="A9" s="6">
        <v>44866</v>
      </c>
      <c r="B9" s="7">
        <v>12935</v>
      </c>
      <c r="C9" s="19" cm="1">
        <f ca="1" t="array" ref="C9">IFERROR(INDEX('Monthly_Cohort_&amp;_Matrix'!$C:$N,(ROW()-2)*2+3,COLUMN()+ROW()-4),"")</f>
        <v>12935</v>
      </c>
      <c r="D9" s="19" cm="1">
        <f ca="1" t="array" ref="D9">IFERROR(INDEX('Monthly_Cohort_&amp;_Matrix'!$C:$N,(ROW()-2)*2+3,COLUMN()+ROW()-4),"")</f>
        <v>1222</v>
      </c>
      <c r="E9" s="19" cm="1">
        <f ca="1" t="array" ref="E9">IFERROR(INDEX('Monthly_Cohort_&amp;_Matrix'!$C:$N,(ROW()-2)*2+3,COLUMN()+ROW()-4),"")</f>
        <v>415</v>
      </c>
      <c r="F9" s="19" cm="1">
        <f ca="1" t="array" ref="F9">IFERROR(INDEX('Monthly_Cohort_&amp;_Matrix'!$C:$N,(ROW()-2)*2+3,COLUMN()+ROW()-4),"")</f>
        <v>273</v>
      </c>
      <c r="G9" s="19" cm="1">
        <f ca="1" t="array" ref="G9">IFERROR(INDEX('Monthly_Cohort_&amp;_Matrix'!$C:$N,(ROW()-2)*2+3,COLUMN()+ROW()-4),"")</f>
        <v>226</v>
      </c>
      <c r="H9" s="19" t="str" cm="1">
        <f ca="1" t="array" ref="H9">IFERROR(INDEX('Monthly_Cohort_&amp;_Matrix'!$C:$N,(ROW()-2)*2+3,COLUMN()+ROW()-4),"")</f>
        <v/>
      </c>
      <c r="I9" s="19" t="str" cm="1">
        <f ca="1" t="array" ref="I9">IFERROR(INDEX('Monthly_Cohort_&amp;_Matrix'!$C:$N,(ROW()-2)*2+3,COLUMN()+ROW()-4),"")</f>
        <v/>
      </c>
      <c r="J9" s="19" t="str" cm="1">
        <f ca="1" t="array" ref="J9">IFERROR(INDEX('Monthly_Cohort_&amp;_Matrix'!$C:$N,(ROW()-2)*2+3,COLUMN()+ROW()-4),"")</f>
        <v/>
      </c>
      <c r="K9" s="19" t="str" cm="1">
        <f ca="1" t="array" ref="K9">IFERROR(INDEX('Monthly_Cohort_&amp;_Matrix'!$C:$N,(ROW()-2)*2+3,COLUMN()+ROW()-4),"")</f>
        <v/>
      </c>
      <c r="L9" s="19" t="str" cm="1">
        <f ca="1" t="array" ref="L9">IFERROR(INDEX('Monthly_Cohort_&amp;_Matrix'!$C:$N,(ROW()-2)*2+3,COLUMN()+ROW()-4),"")</f>
        <v/>
      </c>
      <c r="M9" s="19" t="str" cm="1">
        <f ca="1" t="array" ref="M9">IFERROR(INDEX('Monthly_Cohort_&amp;_Matrix'!$C:$N,(ROW()-2)*2+3,COLUMN()+ROW()-4),"")</f>
        <v/>
      </c>
      <c r="N9" s="20" t="str" cm="1">
        <f ca="1" t="array" ref="N9">IFERROR(INDEX('Monthly_Cohort_&amp;_Matrix'!$C:$N,(ROW()-2)*2+3,COLUMN()+ROW()-4),"")</f>
        <v/>
      </c>
    </row>
    <row r="10" spans="1:14">
      <c r="A10" s="6">
        <v>44896</v>
      </c>
      <c r="B10" s="7">
        <v>10997</v>
      </c>
      <c r="C10" s="19" cm="1">
        <f ca="1" t="array" ref="C10">IFERROR(INDEX('Monthly_Cohort_&amp;_Matrix'!$C:$N,(ROW()-2)*2+3,COLUMN()+ROW()-4),"")</f>
        <v>10997</v>
      </c>
      <c r="D10" s="19" cm="1">
        <f ca="1" t="array" ref="D10">IFERROR(INDEX('Monthly_Cohort_&amp;_Matrix'!$C:$N,(ROW()-2)*2+3,COLUMN()+ROW()-4),"")</f>
        <v>860</v>
      </c>
      <c r="E10" s="19" cm="1">
        <f ca="1" t="array" ref="E10">IFERROR(INDEX('Monthly_Cohort_&amp;_Matrix'!$C:$N,(ROW()-2)*2+3,COLUMN()+ROW()-4),"")</f>
        <v>373</v>
      </c>
      <c r="F10" s="19" cm="1">
        <f ca="1" t="array" ref="F10">IFERROR(INDEX('Monthly_Cohort_&amp;_Matrix'!$C:$N,(ROW()-2)*2+3,COLUMN()+ROW()-4),"")</f>
        <v>276</v>
      </c>
      <c r="G10" s="19" t="str" cm="1">
        <f ca="1" t="array" ref="G10">IFERROR(INDEX('Monthly_Cohort_&amp;_Matrix'!$C:$N,(ROW()-2)*2+3,COLUMN()+ROW()-4),"")</f>
        <v/>
      </c>
      <c r="H10" s="19" t="str" cm="1">
        <f ca="1" t="array" ref="H10">IFERROR(INDEX('Monthly_Cohort_&amp;_Matrix'!$C:$N,(ROW()-2)*2+3,COLUMN()+ROW()-4),"")</f>
        <v/>
      </c>
      <c r="I10" s="19" t="str" cm="1">
        <f ca="1" t="array" ref="I10">IFERROR(INDEX('Monthly_Cohort_&amp;_Matrix'!$C:$N,(ROW()-2)*2+3,COLUMN()+ROW()-4),"")</f>
        <v/>
      </c>
      <c r="J10" s="19" t="str" cm="1">
        <f ca="1" t="array" ref="J10">IFERROR(INDEX('Monthly_Cohort_&amp;_Matrix'!$C:$N,(ROW()-2)*2+3,COLUMN()+ROW()-4),"")</f>
        <v/>
      </c>
      <c r="K10" s="19" t="str" cm="1">
        <f ca="1" t="array" ref="K10">IFERROR(INDEX('Monthly_Cohort_&amp;_Matrix'!$C:$N,(ROW()-2)*2+3,COLUMN()+ROW()-4),"")</f>
        <v/>
      </c>
      <c r="L10" s="19" t="str" cm="1">
        <f ca="1" t="array" ref="L10">IFERROR(INDEX('Monthly_Cohort_&amp;_Matrix'!$C:$N,(ROW()-2)*2+3,COLUMN()+ROW()-4),"")</f>
        <v/>
      </c>
      <c r="M10" s="19" t="str" cm="1">
        <f ca="1" t="array" ref="M10">IFERROR(INDEX('Monthly_Cohort_&amp;_Matrix'!$C:$N,(ROW()-2)*2+3,COLUMN()+ROW()-4),"")</f>
        <v/>
      </c>
      <c r="N10" s="20" t="str" cm="1">
        <f ca="1" t="array" ref="N10">IFERROR(INDEX('Monthly_Cohort_&amp;_Matrix'!$C:$N,(ROW()-2)*2+3,COLUMN()+ROW()-4),"")</f>
        <v/>
      </c>
    </row>
    <row r="11" spans="1:14">
      <c r="A11" s="6">
        <v>44927</v>
      </c>
      <c r="B11" s="7">
        <v>11697</v>
      </c>
      <c r="C11" s="19" cm="1">
        <f ca="1" t="array" ref="C11">IFERROR(INDEX('Monthly_Cohort_&amp;_Matrix'!$C:$N,(ROW()-2)*2+3,COLUMN()+ROW()-4),"")</f>
        <v>11697</v>
      </c>
      <c r="D11" s="19" cm="1">
        <f ca="1" t="array" ref="D11">IFERROR(INDEX('Monthly_Cohort_&amp;_Matrix'!$C:$N,(ROW()-2)*2+3,COLUMN()+ROW()-4),"")</f>
        <v>996</v>
      </c>
      <c r="E11" s="19" cm="1">
        <f ca="1" t="array" ref="E11">IFERROR(INDEX('Monthly_Cohort_&amp;_Matrix'!$C:$N,(ROW()-2)*2+3,COLUMN()+ROW()-4),"")</f>
        <v>454</v>
      </c>
      <c r="F11" s="19" t="str" cm="1">
        <f ca="1" t="array" ref="F11">IFERROR(INDEX('Monthly_Cohort_&amp;_Matrix'!$C:$N,(ROW()-2)*2+3,COLUMN()+ROW()-4),"")</f>
        <v/>
      </c>
      <c r="G11" s="19" t="str" cm="1">
        <f ca="1" t="array" ref="G11">IFERROR(INDEX('Monthly_Cohort_&amp;_Matrix'!$C:$N,(ROW()-2)*2+3,COLUMN()+ROW()-4),"")</f>
        <v/>
      </c>
      <c r="H11" s="19" t="str" cm="1">
        <f ca="1" t="array" ref="H11">IFERROR(INDEX('Monthly_Cohort_&amp;_Matrix'!$C:$N,(ROW()-2)*2+3,COLUMN()+ROW()-4),"")</f>
        <v/>
      </c>
      <c r="I11" s="19" t="str" cm="1">
        <f ca="1" t="array" ref="I11">IFERROR(INDEX('Monthly_Cohort_&amp;_Matrix'!$C:$N,(ROW()-2)*2+3,COLUMN()+ROW()-4),"")</f>
        <v/>
      </c>
      <c r="J11" s="19" t="str" cm="1">
        <f ca="1" t="array" ref="J11">IFERROR(INDEX('Monthly_Cohort_&amp;_Matrix'!$C:$N,(ROW()-2)*2+3,COLUMN()+ROW()-4),"")</f>
        <v/>
      </c>
      <c r="K11" s="19" t="str" cm="1">
        <f ca="1" t="array" ref="K11">IFERROR(INDEX('Monthly_Cohort_&amp;_Matrix'!$C:$N,(ROW()-2)*2+3,COLUMN()+ROW()-4),"")</f>
        <v/>
      </c>
      <c r="L11" s="19" t="str" cm="1">
        <f ca="1" t="array" ref="L11">IFERROR(INDEX('Monthly_Cohort_&amp;_Matrix'!$C:$N,(ROW()-2)*2+3,COLUMN()+ROW()-4),"")</f>
        <v/>
      </c>
      <c r="M11" s="19" t="str" cm="1">
        <f ca="1" t="array" ref="M11">IFERROR(INDEX('Monthly_Cohort_&amp;_Matrix'!$C:$N,(ROW()-2)*2+3,COLUMN()+ROW()-4),"")</f>
        <v/>
      </c>
      <c r="N11" s="20" t="str" cm="1">
        <f ca="1" t="array" ref="N11">IFERROR(INDEX('Monthly_Cohort_&amp;_Matrix'!$C:$N,(ROW()-2)*2+3,COLUMN()+ROW()-4),"")</f>
        <v/>
      </c>
    </row>
    <row r="12" spans="1:14">
      <c r="A12" s="6">
        <v>44958</v>
      </c>
      <c r="B12" s="7">
        <v>11724</v>
      </c>
      <c r="C12" s="19" cm="1">
        <f ca="1" t="array" ref="C12">IFERROR(INDEX('Monthly_Cohort_&amp;_Matrix'!$C:$N,(ROW()-2)*2+3,COLUMN()+ROW()-4),"")</f>
        <v>11724</v>
      </c>
      <c r="D12" s="19" cm="1">
        <f ca="1" t="array" ref="D12">IFERROR(INDEX('Monthly_Cohort_&amp;_Matrix'!$C:$N,(ROW()-2)*2+3,COLUMN()+ROW()-4),"")</f>
        <v>855</v>
      </c>
      <c r="E12" s="19" t="str" cm="1">
        <f ca="1" t="array" ref="E12">IFERROR(INDEX('Monthly_Cohort_&amp;_Matrix'!$C:$N,(ROW()-2)*2+3,COLUMN()+ROW()-4),"")</f>
        <v/>
      </c>
      <c r="F12" s="19" t="str" cm="1">
        <f ca="1" t="array" ref="F12">IFERROR(INDEX('Monthly_Cohort_&amp;_Matrix'!$C:$N,(ROW()-2)*2+3,COLUMN()+ROW()-4),"")</f>
        <v/>
      </c>
      <c r="G12" s="19" t="str" cm="1">
        <f ca="1" t="array" ref="G12">IFERROR(INDEX('Monthly_Cohort_&amp;_Matrix'!$C:$N,(ROW()-2)*2+3,COLUMN()+ROW()-4),"")</f>
        <v/>
      </c>
      <c r="H12" s="19" t="str" cm="1">
        <f ca="1" t="array" ref="H12">IFERROR(INDEX('Monthly_Cohort_&amp;_Matrix'!$C:$N,(ROW()-2)*2+3,COLUMN()+ROW()-4),"")</f>
        <v/>
      </c>
      <c r="I12" s="19" t="str" cm="1">
        <f ca="1" t="array" ref="I12">IFERROR(INDEX('Monthly_Cohort_&amp;_Matrix'!$C:$N,(ROW()-2)*2+3,COLUMN()+ROW()-4),"")</f>
        <v/>
      </c>
      <c r="J12" s="19" t="str" cm="1">
        <f ca="1" t="array" ref="J12">IFERROR(INDEX('Monthly_Cohort_&amp;_Matrix'!$C:$N,(ROW()-2)*2+3,COLUMN()+ROW()-4),"")</f>
        <v/>
      </c>
      <c r="K12" s="19" t="str" cm="1">
        <f ca="1" t="array" ref="K12">IFERROR(INDEX('Monthly_Cohort_&amp;_Matrix'!$C:$N,(ROW()-2)*2+3,COLUMN()+ROW()-4),"")</f>
        <v/>
      </c>
      <c r="L12" s="19" t="str" cm="1">
        <f ca="1" t="array" ref="L12">IFERROR(INDEX('Monthly_Cohort_&amp;_Matrix'!$C:$N,(ROW()-2)*2+3,COLUMN()+ROW()-4),"")</f>
        <v/>
      </c>
      <c r="M12" s="19" t="str" cm="1">
        <f ca="1" t="array" ref="M12">IFERROR(INDEX('Monthly_Cohort_&amp;_Matrix'!$C:$N,(ROW()-2)*2+3,COLUMN()+ROW()-4),"")</f>
        <v/>
      </c>
      <c r="N12" s="20" t="str" cm="1">
        <f ca="1" t="array" ref="N12">IFERROR(INDEX('Monthly_Cohort_&amp;_Matrix'!$C:$N,(ROW()-2)*2+3,COLUMN()+ROW()-4),"")</f>
        <v/>
      </c>
    </row>
    <row r="13" spans="1:14">
      <c r="A13" s="10">
        <v>44986</v>
      </c>
      <c r="B13" s="16">
        <v>14383</v>
      </c>
      <c r="C13" s="21" cm="1">
        <f ca="1" t="array" ref="C13">IFERROR(INDEX('Monthly_Cohort_&amp;_Matrix'!$C:$N,(ROW()-2)*2+3,COLUMN()+ROW()-4),"")</f>
        <v>14383</v>
      </c>
      <c r="D13" s="21" t="str" cm="1">
        <f ca="1" t="array" ref="D13">IFERROR(INDEX('Monthly_Cohort_&amp;_Matrix'!$C:$N,(ROW()-2)*2+3,COLUMN()+ROW()-4),"")</f>
        <v/>
      </c>
      <c r="E13" s="21" t="str" cm="1">
        <f ca="1" t="array" ref="E13">IFERROR(INDEX('Monthly_Cohort_&amp;_Matrix'!$C:$N,(ROW()-2)*2+3,COLUMN()+ROW()-4),"")</f>
        <v/>
      </c>
      <c r="F13" s="21" t="str" cm="1">
        <f ca="1" t="array" ref="F13">IFERROR(INDEX('Monthly_Cohort_&amp;_Matrix'!$C:$N,(ROW()-2)*2+3,COLUMN()+ROW()-4),"")</f>
        <v/>
      </c>
      <c r="G13" s="21" t="str" cm="1">
        <f ca="1" t="array" ref="G13">IFERROR(INDEX('Monthly_Cohort_&amp;_Matrix'!$C:$N,(ROW()-2)*2+3,COLUMN()+ROW()-4),"")</f>
        <v/>
      </c>
      <c r="H13" s="21" t="str" cm="1">
        <f ca="1" t="array" ref="H13">IFERROR(INDEX('Monthly_Cohort_&amp;_Matrix'!$C:$N,(ROW()-2)*2+3,COLUMN()+ROW()-4),"")</f>
        <v/>
      </c>
      <c r="I13" s="21" t="str" cm="1">
        <f ca="1" t="array" ref="I13">IFERROR(INDEX('Monthly_Cohort_&amp;_Matrix'!$C:$N,(ROW()-2)*2+3,COLUMN()+ROW()-4),"")</f>
        <v/>
      </c>
      <c r="J13" s="21" t="str" cm="1">
        <f ca="1" t="array" ref="J13">IFERROR(INDEX('Monthly_Cohort_&amp;_Matrix'!$C:$N,(ROW()-2)*2+3,COLUMN()+ROW()-4),"")</f>
        <v/>
      </c>
      <c r="K13" s="21" t="str" cm="1">
        <f ca="1" t="array" ref="K13">IFERROR(INDEX('Monthly_Cohort_&amp;_Matrix'!$C:$N,(ROW()-2)*2+3,COLUMN()+ROW()-4),"")</f>
        <v/>
      </c>
      <c r="L13" s="21" t="str" cm="1">
        <f ca="1" t="array" ref="L13">IFERROR(INDEX('Monthly_Cohort_&amp;_Matrix'!$C:$N,(ROW()-2)*2+3,COLUMN()+ROW()-4),"")</f>
        <v/>
      </c>
      <c r="M13" s="21" t="str" cm="1">
        <f ca="1" t="array" ref="M13">IFERROR(INDEX('Monthly_Cohort_&amp;_Matrix'!$C:$N,(ROW()-2)*2+3,COLUMN()+ROW()-4),"")</f>
        <v/>
      </c>
      <c r="N13" s="22" t="str" cm="1">
        <f ca="1" t="array" ref="N13">IFERROR(INDEX('Monthly_Cohort_&amp;_Matrix'!$C:$N,(ROW()-2)*2+3,COLUMN()+ROW()-4),"")</f>
        <v/>
      </c>
    </row>
    <row r="16" spans="1:14">
      <c r="A16" s="3" t="s">
        <v>0</v>
      </c>
      <c r="B16" s="4" t="s">
        <v>25</v>
      </c>
      <c r="C16" s="5" t="s">
        <v>13</v>
      </c>
      <c r="D16" s="5" t="s">
        <v>14</v>
      </c>
      <c r="E16" s="5" t="s">
        <v>15</v>
      </c>
      <c r="F16" s="5" t="s">
        <v>16</v>
      </c>
      <c r="G16" s="5" t="s">
        <v>17</v>
      </c>
      <c r="H16" s="5" t="s">
        <v>18</v>
      </c>
      <c r="I16" s="5" t="s">
        <v>19</v>
      </c>
      <c r="J16" s="5" t="s">
        <v>20</v>
      </c>
      <c r="K16" s="5" t="s">
        <v>21</v>
      </c>
      <c r="L16" s="5" t="s">
        <v>22</v>
      </c>
      <c r="M16" s="5" t="s">
        <v>23</v>
      </c>
      <c r="N16" s="13" t="s">
        <v>24</v>
      </c>
    </row>
    <row r="17" spans="1:14">
      <c r="A17" s="6">
        <v>44652</v>
      </c>
      <c r="B17" s="7" cm="1">
        <f ca="1" t="array" ref="B17:B28">TRANSPOSE('Monthly_Cohort_&amp;_Matrix'!C34:N34)</f>
        <v>3470489.01252315</v>
      </c>
      <c r="C17" s="19" cm="1">
        <f ca="1" t="array" ref="C17">IFERROR(INDEX('Monthly_Cohort_&amp;_Matrix'!$C:$N,(ROW()-17)*2+2,COLUMN()+ROW()-19),"")</f>
        <v>3470489.01252315</v>
      </c>
      <c r="D17" s="19" cm="1">
        <f ca="1" t="array" ref="D17">IFERROR(INDEX('Monthly_Cohort_&amp;_Matrix'!$C:$N,(ROW()-17)*2+2,COLUMN()+ROW()-19),"")</f>
        <v>4531845.6734533</v>
      </c>
      <c r="E17" s="19" cm="1">
        <f ca="1" t="array" ref="E17">IFERROR(INDEX('Monthly_Cohort_&amp;_Matrix'!$C:$N,(ROW()-17)*2+2,COLUMN()+ROW()-19),"")</f>
        <v>2016024.71076145</v>
      </c>
      <c r="F17" s="19" cm="1">
        <f ca="1" t="array" ref="F17">IFERROR(INDEX('Monthly_Cohort_&amp;_Matrix'!$C:$N,(ROW()-17)*2+2,COLUMN()+ROW()-19),"")</f>
        <v>1479962.3009216</v>
      </c>
      <c r="G17" s="19" cm="1">
        <f ca="1" t="array" ref="G17">IFERROR(INDEX('Monthly_Cohort_&amp;_Matrix'!$C:$N,(ROW()-17)*2+2,COLUMN()+ROW()-19),"")</f>
        <v>1504660.37101978</v>
      </c>
      <c r="H17" s="19" cm="1">
        <f ca="1" t="array" ref="H17">IFERROR(INDEX('Monthly_Cohort_&amp;_Matrix'!$C:$N,(ROW()-17)*2+2,COLUMN()+ROW()-19),"")</f>
        <v>1611245.60055201</v>
      </c>
      <c r="I17" s="19" cm="1">
        <f ca="1" t="array" ref="I17">IFERROR(INDEX('Monthly_Cohort_&amp;_Matrix'!$C:$N,(ROW()-17)*2+2,COLUMN()+ROW()-19),"")</f>
        <v>1522136.73011474</v>
      </c>
      <c r="J17" s="19" cm="1">
        <f ca="1" t="array" ref="J17">IFERROR(INDEX('Monthly_Cohort_&amp;_Matrix'!$C:$N,(ROW()-17)*2+2,COLUMN()+ROW()-19),"")</f>
        <v>1431240.42008348</v>
      </c>
      <c r="K17" s="19" cm="1">
        <f ca="1" t="array" ref="K17">IFERROR(INDEX('Monthly_Cohort_&amp;_Matrix'!$C:$N,(ROW()-17)*2+2,COLUMN()+ROW()-19),"")</f>
        <v>1447305.17961859</v>
      </c>
      <c r="L17" s="19" cm="1">
        <f ca="1" t="array" ref="L17">IFERROR(INDEX('Monthly_Cohort_&amp;_Matrix'!$C:$N,(ROW()-17)*2+2,COLUMN()+ROW()-19),"")</f>
        <v>1569349.30059506</v>
      </c>
      <c r="M17" s="19" cm="1">
        <f ca="1" t="array" ref="M17">IFERROR(INDEX('Monthly_Cohort_&amp;_Matrix'!$C:$N,(ROW()-17)*2+2,COLUMN()+ROW()-19),"")</f>
        <v>1157821.02090095</v>
      </c>
      <c r="N17" s="20" cm="1">
        <f ca="1" t="array" ref="N17">IFERROR(INDEX('Monthly_Cohort_&amp;_Matrix'!$C:$N,(ROW()-17)*2+2,COLUMN()+ROW()-19),"")</f>
        <v>1613196.85185044</v>
      </c>
    </row>
    <row r="18" spans="1:14">
      <c r="A18" s="6">
        <v>44682</v>
      </c>
      <c r="B18" s="7">
        <v>5119928.17410458</v>
      </c>
      <c r="C18" s="19" cm="1">
        <f ca="1" t="array" ref="C18">IFERROR(INDEX('Monthly_Cohort_&amp;_Matrix'!$C:$N,(ROW()-17)*2+2,COLUMN()+ROW()-19),"")</f>
        <v>5119928.17410458</v>
      </c>
      <c r="D18" s="19" cm="1">
        <f ca="1" t="array" ref="D18">IFERROR(INDEX('Monthly_Cohort_&amp;_Matrix'!$C:$N,(ROW()-17)*2+2,COLUMN()+ROW()-19),"")</f>
        <v>3251729.44022218</v>
      </c>
      <c r="E18" s="19" cm="1">
        <f ca="1" t="array" ref="E18">IFERROR(INDEX('Monthly_Cohort_&amp;_Matrix'!$C:$N,(ROW()-17)*2+2,COLUMN()+ROW()-19),"")</f>
        <v>2104764.61018048</v>
      </c>
      <c r="F18" s="19" cm="1">
        <f ca="1" t="array" ref="F18">IFERROR(INDEX('Monthly_Cohort_&amp;_Matrix'!$C:$N,(ROW()-17)*2+2,COLUMN()+ROW()-19),"")</f>
        <v>1837881.90972119</v>
      </c>
      <c r="G18" s="19" cm="1">
        <f ca="1" t="array" ref="G18">IFERROR(INDEX('Monthly_Cohort_&amp;_Matrix'!$C:$N,(ROW()-17)*2+2,COLUMN()+ROW()-19),"")</f>
        <v>1139201.34034503</v>
      </c>
      <c r="H18" s="19" cm="1">
        <f ca="1" t="array" ref="H18">IFERROR(INDEX('Monthly_Cohort_&amp;_Matrix'!$C:$N,(ROW()-17)*2+2,COLUMN()+ROW()-19),"")</f>
        <v>642896.149931936</v>
      </c>
      <c r="I18" s="19" cm="1">
        <f ca="1" t="array" ref="I18">IFERROR(INDEX('Monthly_Cohort_&amp;_Matrix'!$C:$N,(ROW()-17)*2+2,COLUMN()+ROW()-19),"")</f>
        <v>748966.780193157</v>
      </c>
      <c r="J18" s="19" cm="1">
        <f ca="1" t="array" ref="J18">IFERROR(INDEX('Monthly_Cohort_&amp;_Matrix'!$C:$N,(ROW()-17)*2+2,COLUMN()+ROW()-19),"")</f>
        <v>1110431.28040783</v>
      </c>
      <c r="K18" s="19" cm="1">
        <f ca="1" t="array" ref="K18">IFERROR(INDEX('Monthly_Cohort_&amp;_Matrix'!$C:$N,(ROW()-17)*2+2,COLUMN()+ROW()-19),"")</f>
        <v>1033822.59079574</v>
      </c>
      <c r="L18" s="19" cm="1">
        <f ca="1" t="array" ref="L18">IFERROR(INDEX('Monthly_Cohort_&amp;_Matrix'!$C:$N,(ROW()-17)*2+2,COLUMN()+ROW()-19),"")</f>
        <v>946760.520296775</v>
      </c>
      <c r="M18" s="19" cm="1">
        <f ca="1" t="array" ref="M18">IFERROR(INDEX('Monthly_Cohort_&amp;_Matrix'!$C:$N,(ROW()-17)*2+2,COLUMN()+ROW()-19),"")</f>
        <v>850348.780259529</v>
      </c>
      <c r="N18" s="20" t="str" cm="1">
        <f ca="1" t="array" ref="N18">IFERROR(INDEX('Monthly_Cohort_&amp;_Matrix'!$C:$N,(ROW()-17)*2+2,COLUMN()+ROW()-19),"")</f>
        <v/>
      </c>
    </row>
    <row r="19" spans="1:14">
      <c r="A19" s="6">
        <v>44713</v>
      </c>
      <c r="B19" s="7">
        <v>3815355.2505326</v>
      </c>
      <c r="C19" s="19" cm="1">
        <f ca="1" t="array" ref="C19">IFERROR(INDEX('Monthly_Cohort_&amp;_Matrix'!$C:$N,(ROW()-17)*2+2,COLUMN()+ROW()-19),"")</f>
        <v>3815355.2505326</v>
      </c>
      <c r="D19" s="19" cm="1">
        <f ca="1" t="array" ref="D19">IFERROR(INDEX('Monthly_Cohort_&amp;_Matrix'!$C:$N,(ROW()-17)*2+2,COLUMN()+ROW()-19),"")</f>
        <v>2577614.24978113</v>
      </c>
      <c r="E19" s="19" cm="1">
        <f ca="1" t="array" ref="E19">IFERROR(INDEX('Monthly_Cohort_&amp;_Matrix'!$C:$N,(ROW()-17)*2+2,COLUMN()+ROW()-19),"")</f>
        <v>1433445.3502219</v>
      </c>
      <c r="F19" s="19" cm="1">
        <f ca="1" t="array" ref="F19">IFERROR(INDEX('Monthly_Cohort_&amp;_Matrix'!$C:$N,(ROW()-17)*2+2,COLUMN()+ROW()-19),"")</f>
        <v>1390421.2397226</v>
      </c>
      <c r="G19" s="19" cm="1">
        <f ca="1" t="array" ref="G19">IFERROR(INDEX('Monthly_Cohort_&amp;_Matrix'!$C:$N,(ROW()-17)*2+2,COLUMN()+ROW()-19),"")</f>
        <v>1348763.14988678</v>
      </c>
      <c r="H19" s="19" cm="1">
        <f ca="1" t="array" ref="H19">IFERROR(INDEX('Monthly_Cohort_&amp;_Matrix'!$C:$N,(ROW()-17)*2+2,COLUMN()+ROW()-19),"")</f>
        <v>840880.320029724</v>
      </c>
      <c r="I19" s="19" cm="1">
        <f ca="1" t="array" ref="I19">IFERROR(INDEX('Monthly_Cohort_&amp;_Matrix'!$C:$N,(ROW()-17)*2+2,COLUMN()+ROW()-19),"")</f>
        <v>749196.500281943</v>
      </c>
      <c r="J19" s="19" cm="1">
        <f ca="1" t="array" ref="J19">IFERROR(INDEX('Monthly_Cohort_&amp;_Matrix'!$C:$N,(ROW()-17)*2+2,COLUMN()+ROW()-19),"")</f>
        <v>663578.600133976</v>
      </c>
      <c r="K19" s="19" cm="1">
        <f ca="1" t="array" ref="K19">IFERROR(INDEX('Monthly_Cohort_&amp;_Matrix'!$C:$N,(ROW()-17)*2+2,COLUMN()+ROW()-19),"")</f>
        <v>946472.019766629</v>
      </c>
      <c r="L19" s="19" cm="1">
        <f ca="1" t="array" ref="L19">IFERROR(INDEX('Monthly_Cohort_&amp;_Matrix'!$C:$N,(ROW()-17)*2+2,COLUMN()+ROW()-19),"")</f>
        <v>1186950.92926877</v>
      </c>
      <c r="M19" s="19" t="str" cm="1">
        <f ca="1" t="array" ref="M19">IFERROR(INDEX('Monthly_Cohort_&amp;_Matrix'!$C:$N,(ROW()-17)*2+2,COLUMN()+ROW()-19),"")</f>
        <v/>
      </c>
      <c r="N19" s="20" t="str" cm="1">
        <f ca="1" t="array" ref="N19">IFERROR(INDEX('Monthly_Cohort_&amp;_Matrix'!$C:$N,(ROW()-17)*2+2,COLUMN()+ROW()-19),"")</f>
        <v/>
      </c>
    </row>
    <row r="20" spans="1:14">
      <c r="A20" s="6">
        <v>44743</v>
      </c>
      <c r="B20" s="7">
        <v>4547888.81180353</v>
      </c>
      <c r="C20" s="19" cm="1">
        <f ca="1" t="array" ref="C20">IFERROR(INDEX('Monthly_Cohort_&amp;_Matrix'!$C:$N,(ROW()-17)*2+2,COLUMN()+ROW()-19),"")</f>
        <v>4547888.81180353</v>
      </c>
      <c r="D20" s="19" cm="1">
        <f ca="1" t="array" ref="D20">IFERROR(INDEX('Monthly_Cohort_&amp;_Matrix'!$C:$N,(ROW()-17)*2+2,COLUMN()+ROW()-19),"")</f>
        <v>4166630.58124646</v>
      </c>
      <c r="E20" s="19" cm="1">
        <f ca="1" t="array" ref="E20">IFERROR(INDEX('Monthly_Cohort_&amp;_Matrix'!$C:$N,(ROW()-17)*2+2,COLUMN()+ROW()-19),"")</f>
        <v>2402552.60023555</v>
      </c>
      <c r="F20" s="19" cm="1">
        <f ca="1" t="array" ref="F20">IFERROR(INDEX('Monthly_Cohort_&amp;_Matrix'!$C:$N,(ROW()-17)*2+2,COLUMN()+ROW()-19),"")</f>
        <v>1811911.87067892</v>
      </c>
      <c r="G20" s="19" cm="1">
        <f ca="1" t="array" ref="G20">IFERROR(INDEX('Monthly_Cohort_&amp;_Matrix'!$C:$N,(ROW()-17)*2+2,COLUMN()+ROW()-19),"")</f>
        <v>2653527.65265263</v>
      </c>
      <c r="H20" s="19" cm="1">
        <f ca="1" t="array" ref="H20">IFERROR(INDEX('Monthly_Cohort_&amp;_Matrix'!$C:$N,(ROW()-17)*2+2,COLUMN()+ROW()-19),"")</f>
        <v>3125232.72152946</v>
      </c>
      <c r="I20" s="19" cm="1">
        <f ca="1" t="array" ref="I20">IFERROR(INDEX('Monthly_Cohort_&amp;_Matrix'!$C:$N,(ROW()-17)*2+2,COLUMN()+ROW()-19),"")</f>
        <v>2436043.38117559</v>
      </c>
      <c r="J20" s="19" cm="1">
        <f ca="1" t="array" ref="J20">IFERROR(INDEX('Monthly_Cohort_&amp;_Matrix'!$C:$N,(ROW()-17)*2+2,COLUMN()+ROW()-19),"")</f>
        <v>1559146.0617608</v>
      </c>
      <c r="K20" s="19" cm="1">
        <f ca="1" t="array" ref="K20">IFERROR(INDEX('Monthly_Cohort_&amp;_Matrix'!$C:$N,(ROW()-17)*2+2,COLUMN()+ROW()-19),"")</f>
        <v>2922084.19255183</v>
      </c>
      <c r="L20" s="19" t="str" cm="1">
        <f ca="1" t="array" ref="L20">IFERROR(INDEX('Monthly_Cohort_&amp;_Matrix'!$C:$N,(ROW()-17)*2+2,COLUMN()+ROW()-19),"")</f>
        <v/>
      </c>
      <c r="M20" s="19" t="str" cm="1">
        <f ca="1" t="array" ref="M20">IFERROR(INDEX('Monthly_Cohort_&amp;_Matrix'!$C:$N,(ROW()-17)*2+2,COLUMN()+ROW()-19),"")</f>
        <v/>
      </c>
      <c r="N20" s="20" t="str" cm="1">
        <f ca="1" t="array" ref="N20">IFERROR(INDEX('Monthly_Cohort_&amp;_Matrix'!$C:$N,(ROW()-17)*2+2,COLUMN()+ROW()-19),"")</f>
        <v/>
      </c>
    </row>
    <row r="21" spans="1:14">
      <c r="A21" s="6">
        <v>44774</v>
      </c>
      <c r="B21" s="7">
        <v>2906573.54102523</v>
      </c>
      <c r="C21" s="19" cm="1">
        <f ca="1" t="array" ref="C21">IFERROR(INDEX('Monthly_Cohort_&amp;_Matrix'!$C:$N,(ROW()-17)*2+2,COLUMN()+ROW()-19),"")</f>
        <v>2906573.54102523</v>
      </c>
      <c r="D21" s="19" cm="1">
        <f ca="1" t="array" ref="D21">IFERROR(INDEX('Monthly_Cohort_&amp;_Matrix'!$C:$N,(ROW()-17)*2+2,COLUMN()+ROW()-19),"")</f>
        <v>1774037.17019853</v>
      </c>
      <c r="E21" s="19" cm="1">
        <f ca="1" t="array" ref="E21">IFERROR(INDEX('Monthly_Cohort_&amp;_Matrix'!$C:$N,(ROW()-17)*2+2,COLUMN()+ROW()-19),"")</f>
        <v>1403062.74041794</v>
      </c>
      <c r="F21" s="19" cm="1">
        <f ca="1" t="array" ref="F21">IFERROR(INDEX('Monthly_Cohort_&amp;_Matrix'!$C:$N,(ROW()-17)*2+2,COLUMN()+ROW()-19),"")</f>
        <v>1113653.36103304</v>
      </c>
      <c r="G21" s="19" cm="1">
        <f ca="1" t="array" ref="G21">IFERROR(INDEX('Monthly_Cohort_&amp;_Matrix'!$C:$N,(ROW()-17)*2+2,COLUMN()+ROW()-19),"")</f>
        <v>1237597.13093476</v>
      </c>
      <c r="H21" s="19" cm="1">
        <f ca="1" t="array" ref="H21">IFERROR(INDEX('Monthly_Cohort_&amp;_Matrix'!$C:$N,(ROW()-17)*2+2,COLUMN()+ROW()-19),"")</f>
        <v>1538336.20036829</v>
      </c>
      <c r="I21" s="19" cm="1">
        <f ca="1" t="array" ref="I21">IFERROR(INDEX('Monthly_Cohort_&amp;_Matrix'!$C:$N,(ROW()-17)*2+2,COLUMN()+ROW()-19),"")</f>
        <v>705618.630102606</v>
      </c>
      <c r="J21" s="19" cm="1">
        <f ca="1" t="array" ref="J21">IFERROR(INDEX('Monthly_Cohort_&amp;_Matrix'!$C:$N,(ROW()-17)*2+2,COLUMN()+ROW()-19),"")</f>
        <v>926147.720271336</v>
      </c>
      <c r="K21" s="19" t="str" cm="1">
        <f ca="1" t="array" ref="K21">IFERROR(INDEX('Monthly_Cohort_&amp;_Matrix'!$C:$N,(ROW()-17)*2+2,COLUMN()+ROW()-19),"")</f>
        <v/>
      </c>
      <c r="L21" s="19" t="str" cm="1">
        <f ca="1" t="array" ref="L21">IFERROR(INDEX('Monthly_Cohort_&amp;_Matrix'!$C:$N,(ROW()-17)*2+2,COLUMN()+ROW()-19),"")</f>
        <v/>
      </c>
      <c r="M21" s="19" t="str" cm="1">
        <f ca="1" t="array" ref="M21">IFERROR(INDEX('Monthly_Cohort_&amp;_Matrix'!$C:$N,(ROW()-17)*2+2,COLUMN()+ROW()-19),"")</f>
        <v/>
      </c>
      <c r="N21" s="20" t="str" cm="1">
        <f ca="1" t="array" ref="N21">IFERROR(INDEX('Monthly_Cohort_&amp;_Matrix'!$C:$N,(ROW()-17)*2+2,COLUMN()+ROW()-19),"")</f>
        <v/>
      </c>
    </row>
    <row r="22" spans="1:14">
      <c r="A22" s="6">
        <v>44805</v>
      </c>
      <c r="B22" s="7">
        <v>2178295.91129921</v>
      </c>
      <c r="C22" s="19" cm="1">
        <f ca="1" t="array" ref="C22">IFERROR(INDEX('Monthly_Cohort_&amp;_Matrix'!$C:$N,(ROW()-17)*2+2,COLUMN()+ROW()-19),"")</f>
        <v>2178295.91129921</v>
      </c>
      <c r="D22" s="19" cm="1">
        <f ca="1" t="array" ref="D22">IFERROR(INDEX('Monthly_Cohort_&amp;_Matrix'!$C:$N,(ROW()-17)*2+2,COLUMN()+ROW()-19),"")</f>
        <v>1319452.59017167</v>
      </c>
      <c r="E22" s="19" cm="1">
        <f ca="1" t="array" ref="E22">IFERROR(INDEX('Monthly_Cohort_&amp;_Matrix'!$C:$N,(ROW()-17)*2+2,COLUMN()+ROW()-19),"")</f>
        <v>937420.570062064</v>
      </c>
      <c r="F22" s="19" cm="1">
        <f ca="1" t="array" ref="F22">IFERROR(INDEX('Monthly_Cohort_&amp;_Matrix'!$C:$N,(ROW()-17)*2+2,COLUMN()+ROW()-19),"")</f>
        <v>779976.650216874</v>
      </c>
      <c r="G22" s="19" cm="1">
        <f ca="1" t="array" ref="G22">IFERROR(INDEX('Monthly_Cohort_&amp;_Matrix'!$C:$N,(ROW()-17)*2+2,COLUMN()+ROW()-19),"")</f>
        <v>1073896.00018495</v>
      </c>
      <c r="H22" s="19" cm="1">
        <f ca="1" t="array" ref="H22">IFERROR(INDEX('Monthly_Cohort_&amp;_Matrix'!$C:$N,(ROW()-17)*2+2,COLUMN()+ROW()-19),"")</f>
        <v>519091.13011504</v>
      </c>
      <c r="I22" s="19" cm="1">
        <f ca="1" t="array" ref="I22">IFERROR(INDEX('Monthly_Cohort_&amp;_Matrix'!$C:$N,(ROW()-17)*2+2,COLUMN()+ROW()-19),"")</f>
        <v>416146.640059093</v>
      </c>
      <c r="J22" s="19" t="str" cm="1">
        <f ca="1" t="array" ref="J22">IFERROR(INDEX('Monthly_Cohort_&amp;_Matrix'!$C:$N,(ROW()-17)*2+2,COLUMN()+ROW()-19),"")</f>
        <v/>
      </c>
      <c r="K22" s="19" t="str" cm="1">
        <f ca="1" t="array" ref="K22">IFERROR(INDEX('Monthly_Cohort_&amp;_Matrix'!$C:$N,(ROW()-17)*2+2,COLUMN()+ROW()-19),"")</f>
        <v/>
      </c>
      <c r="L22" s="19" t="str" cm="1">
        <f ca="1" t="array" ref="L22">IFERROR(INDEX('Monthly_Cohort_&amp;_Matrix'!$C:$N,(ROW()-17)*2+2,COLUMN()+ROW()-19),"")</f>
        <v/>
      </c>
      <c r="M22" s="19" t="str" cm="1">
        <f ca="1" t="array" ref="M22">IFERROR(INDEX('Monthly_Cohort_&amp;_Matrix'!$C:$N,(ROW()-17)*2+2,COLUMN()+ROW()-19),"")</f>
        <v/>
      </c>
      <c r="N22" s="20" t="str" cm="1">
        <f ca="1" t="array" ref="N22">IFERROR(INDEX('Monthly_Cohort_&amp;_Matrix'!$C:$N,(ROW()-17)*2+2,COLUMN()+ROW()-19),"")</f>
        <v/>
      </c>
    </row>
    <row r="23" spans="1:14">
      <c r="A23" s="6">
        <v>44835</v>
      </c>
      <c r="B23" s="7">
        <v>2894310.36115145</v>
      </c>
      <c r="C23" s="19" cm="1">
        <f ca="1" t="array" ref="C23">IFERROR(INDEX('Monthly_Cohort_&amp;_Matrix'!$C:$N,(ROW()-17)*2+2,COLUMN()+ROW()-19),"")</f>
        <v>2894310.36115145</v>
      </c>
      <c r="D23" s="19" cm="1">
        <f ca="1" t="array" ref="D23">IFERROR(INDEX('Monthly_Cohort_&amp;_Matrix'!$C:$N,(ROW()-17)*2+2,COLUMN()+ROW()-19),"")</f>
        <v>2422647.63887558</v>
      </c>
      <c r="E23" s="19" cm="1">
        <f ca="1" t="array" ref="E23">IFERROR(INDEX('Monthly_Cohort_&amp;_Matrix'!$C:$N,(ROW()-17)*2+2,COLUMN()+ROW()-19),"")</f>
        <v>1103806.59032509</v>
      </c>
      <c r="F23" s="19" cm="1">
        <f ca="1" t="array" ref="F23">IFERROR(INDEX('Monthly_Cohort_&amp;_Matrix'!$C:$N,(ROW()-17)*2+2,COLUMN()+ROW()-19),"")</f>
        <v>825014.410324434</v>
      </c>
      <c r="G23" s="19" cm="1">
        <f ca="1" t="array" ref="G23">IFERROR(INDEX('Monthly_Cohort_&amp;_Matrix'!$C:$N,(ROW()-17)*2+2,COLUMN()+ROW()-19),"")</f>
        <v>729020.050095037</v>
      </c>
      <c r="H23" s="19" cm="1">
        <f ca="1" t="array" ref="H23">IFERROR(INDEX('Monthly_Cohort_&amp;_Matrix'!$C:$N,(ROW()-17)*2+2,COLUMN()+ROW()-19),"")</f>
        <v>1049514.35065746</v>
      </c>
      <c r="I23" s="19" t="str" cm="1">
        <f ca="1" t="array" ref="I23">IFERROR(INDEX('Monthly_Cohort_&amp;_Matrix'!$C:$N,(ROW()-17)*2+2,COLUMN()+ROW()-19),"")</f>
        <v/>
      </c>
      <c r="J23" s="19" t="str" cm="1">
        <f ca="1" t="array" ref="J23">IFERROR(INDEX('Monthly_Cohort_&amp;_Matrix'!$C:$N,(ROW()-17)*2+2,COLUMN()+ROW()-19),"")</f>
        <v/>
      </c>
      <c r="K23" s="19" t="str" cm="1">
        <f ca="1" t="array" ref="K23">IFERROR(INDEX('Monthly_Cohort_&amp;_Matrix'!$C:$N,(ROW()-17)*2+2,COLUMN()+ROW()-19),"")</f>
        <v/>
      </c>
      <c r="L23" s="19" t="str" cm="1">
        <f ca="1" t="array" ref="L23">IFERROR(INDEX('Monthly_Cohort_&amp;_Matrix'!$C:$N,(ROW()-17)*2+2,COLUMN()+ROW()-19),"")</f>
        <v/>
      </c>
      <c r="M23" s="19" t="str" cm="1">
        <f ca="1" t="array" ref="M23">IFERROR(INDEX('Monthly_Cohort_&amp;_Matrix'!$C:$N,(ROW()-17)*2+2,COLUMN()+ROW()-19),"")</f>
        <v/>
      </c>
      <c r="N23" s="20" t="str" cm="1">
        <f ca="1" t="array" ref="N23">IFERROR(INDEX('Monthly_Cohort_&amp;_Matrix'!$C:$N,(ROW()-17)*2+2,COLUMN()+ROW()-19),"")</f>
        <v/>
      </c>
    </row>
    <row r="24" spans="1:14">
      <c r="A24" s="6">
        <v>44866</v>
      </c>
      <c r="B24" s="7">
        <v>3252521.61156486</v>
      </c>
      <c r="C24" s="19" cm="1">
        <f ca="1" t="array" ref="C24">IFERROR(INDEX('Monthly_Cohort_&amp;_Matrix'!$C:$N,(ROW()-17)*2+2,COLUMN()+ROW()-19),"")</f>
        <v>3252521.61156486</v>
      </c>
      <c r="D24" s="19" cm="1">
        <f ca="1" t="array" ref="D24">IFERROR(INDEX('Monthly_Cohort_&amp;_Matrix'!$C:$N,(ROW()-17)*2+2,COLUMN()+ROW()-19),"")</f>
        <v>2952210.67099827</v>
      </c>
      <c r="E24" s="19" cm="1">
        <f ca="1" t="array" ref="E24">IFERROR(INDEX('Monthly_Cohort_&amp;_Matrix'!$C:$N,(ROW()-17)*2+2,COLUMN()+ROW()-19),"")</f>
        <v>1582011.76025868</v>
      </c>
      <c r="F24" s="19" cm="1">
        <f ca="1" t="array" ref="F24">IFERROR(INDEX('Monthly_Cohort_&amp;_Matrix'!$C:$N,(ROW()-17)*2+2,COLUMN()+ROW()-19),"")</f>
        <v>1297248.36009054</v>
      </c>
      <c r="G24" s="19" cm="1">
        <f ca="1" t="array" ref="G24">IFERROR(INDEX('Monthly_Cohort_&amp;_Matrix'!$C:$N,(ROW()-17)*2+2,COLUMN()+ROW()-19),"")</f>
        <v>1838872.46080752</v>
      </c>
      <c r="H24" s="19" t="str" cm="1">
        <f ca="1" t="array" ref="H24">IFERROR(INDEX('Monthly_Cohort_&amp;_Matrix'!$C:$N,(ROW()-17)*2+2,COLUMN()+ROW()-19),"")</f>
        <v/>
      </c>
      <c r="I24" s="19" t="str" cm="1">
        <f ca="1" t="array" ref="I24">IFERROR(INDEX('Monthly_Cohort_&amp;_Matrix'!$C:$N,(ROW()-17)*2+2,COLUMN()+ROW()-19),"")</f>
        <v/>
      </c>
      <c r="J24" s="19" t="str" cm="1">
        <f ca="1" t="array" ref="J24">IFERROR(INDEX('Monthly_Cohort_&amp;_Matrix'!$C:$N,(ROW()-17)*2+2,COLUMN()+ROW()-19),"")</f>
        <v/>
      </c>
      <c r="K24" s="19" t="str" cm="1">
        <f ca="1" t="array" ref="K24">IFERROR(INDEX('Monthly_Cohort_&amp;_Matrix'!$C:$N,(ROW()-17)*2+2,COLUMN()+ROW()-19),"")</f>
        <v/>
      </c>
      <c r="L24" s="19" t="str" cm="1">
        <f ca="1" t="array" ref="L24">IFERROR(INDEX('Monthly_Cohort_&amp;_Matrix'!$C:$N,(ROW()-17)*2+2,COLUMN()+ROW()-19),"")</f>
        <v/>
      </c>
      <c r="M24" s="19" t="str" cm="1">
        <f ca="1" t="array" ref="M24">IFERROR(INDEX('Monthly_Cohort_&amp;_Matrix'!$C:$N,(ROW()-17)*2+2,COLUMN()+ROW()-19),"")</f>
        <v/>
      </c>
      <c r="N24" s="20" t="str" cm="1">
        <f ca="1" t="array" ref="N24">IFERROR(INDEX('Monthly_Cohort_&amp;_Matrix'!$C:$N,(ROW()-17)*2+2,COLUMN()+ROW()-19),"")</f>
        <v/>
      </c>
    </row>
    <row r="25" spans="1:14">
      <c r="A25" s="6">
        <v>44896</v>
      </c>
      <c r="B25" s="7">
        <v>2753173.18996686</v>
      </c>
      <c r="C25" s="19" cm="1">
        <f ca="1" t="array" ref="C25">IFERROR(INDEX('Monthly_Cohort_&amp;_Matrix'!$C:$N,(ROW()-17)*2+2,COLUMN()+ROW()-19),"")</f>
        <v>2753173.18996686</v>
      </c>
      <c r="D25" s="19" cm="1">
        <f ca="1" t="array" ref="D25">IFERROR(INDEX('Monthly_Cohort_&amp;_Matrix'!$C:$N,(ROW()-17)*2+2,COLUMN()+ROW()-19),"")</f>
        <v>4530061.69930018</v>
      </c>
      <c r="E25" s="19" cm="1">
        <f ca="1" t="array" ref="E25">IFERROR(INDEX('Monthly_Cohort_&amp;_Matrix'!$C:$N,(ROW()-17)*2+2,COLUMN()+ROW()-19),"")</f>
        <v>3856710.69037558</v>
      </c>
      <c r="F25" s="19" cm="1">
        <f ca="1" t="array" ref="F25">IFERROR(INDEX('Monthly_Cohort_&amp;_Matrix'!$C:$N,(ROW()-17)*2+2,COLUMN()+ROW()-19),"")</f>
        <v>3746109.34091866</v>
      </c>
      <c r="G25" s="19" t="str" cm="1">
        <f ca="1" t="array" ref="G25">IFERROR(INDEX('Monthly_Cohort_&amp;_Matrix'!$C:$N,(ROW()-17)*2+2,COLUMN()+ROW()-19),"")</f>
        <v/>
      </c>
      <c r="H25" s="19" t="str" cm="1">
        <f ca="1" t="array" ref="H25">IFERROR(INDEX('Monthly_Cohort_&amp;_Matrix'!$C:$N,(ROW()-17)*2+2,COLUMN()+ROW()-19),"")</f>
        <v/>
      </c>
      <c r="I25" s="19" t="str" cm="1">
        <f ca="1" t="array" ref="I25">IFERROR(INDEX('Monthly_Cohort_&amp;_Matrix'!$C:$N,(ROW()-17)*2+2,COLUMN()+ROW()-19),"")</f>
        <v/>
      </c>
      <c r="J25" s="19" t="str" cm="1">
        <f ca="1" t="array" ref="J25">IFERROR(INDEX('Monthly_Cohort_&amp;_Matrix'!$C:$N,(ROW()-17)*2+2,COLUMN()+ROW()-19),"")</f>
        <v/>
      </c>
      <c r="K25" s="19" t="str" cm="1">
        <f ca="1" t="array" ref="K25">IFERROR(INDEX('Monthly_Cohort_&amp;_Matrix'!$C:$N,(ROW()-17)*2+2,COLUMN()+ROW()-19),"")</f>
        <v/>
      </c>
      <c r="L25" s="19" t="str" cm="1">
        <f ca="1" t="array" ref="L25">IFERROR(INDEX('Monthly_Cohort_&amp;_Matrix'!$C:$N,(ROW()-17)*2+2,COLUMN()+ROW()-19),"")</f>
        <v/>
      </c>
      <c r="M25" s="19" t="str" cm="1">
        <f ca="1" t="array" ref="M25">IFERROR(INDEX('Monthly_Cohort_&amp;_Matrix'!$C:$N,(ROW()-17)*2+2,COLUMN()+ROW()-19),"")</f>
        <v/>
      </c>
      <c r="N25" s="20" t="str" cm="1">
        <f ca="1" t="array" ref="N25">IFERROR(INDEX('Monthly_Cohort_&amp;_Matrix'!$C:$N,(ROW()-17)*2+2,COLUMN()+ROW()-19),"")</f>
        <v/>
      </c>
    </row>
    <row r="26" spans="1:14">
      <c r="A26" s="6">
        <v>44927</v>
      </c>
      <c r="B26" s="7">
        <v>3024628.88019842</v>
      </c>
      <c r="C26" s="19" cm="1">
        <f ca="1" t="array" ref="C26">IFERROR(INDEX('Monthly_Cohort_&amp;_Matrix'!$C:$N,(ROW()-17)*2+2,COLUMN()+ROW()-19),"")</f>
        <v>3024628.88019842</v>
      </c>
      <c r="D26" s="19" cm="1">
        <f ca="1" t="array" ref="D26">IFERROR(INDEX('Monthly_Cohort_&amp;_Matrix'!$C:$N,(ROW()-17)*2+2,COLUMN()+ROW()-19),"")</f>
        <v>3455629.48960056</v>
      </c>
      <c r="E26" s="19" cm="1">
        <f ca="1" t="array" ref="E26">IFERROR(INDEX('Monthly_Cohort_&amp;_Matrix'!$C:$N,(ROW()-17)*2+2,COLUMN()+ROW()-19),"")</f>
        <v>2403373.87904484</v>
      </c>
      <c r="F26" s="19" t="str" cm="1">
        <f ca="1" t="array" ref="F26">IFERROR(INDEX('Monthly_Cohort_&amp;_Matrix'!$C:$N,(ROW()-17)*2+2,COLUMN()+ROW()-19),"")</f>
        <v/>
      </c>
      <c r="G26" s="19" t="str" cm="1">
        <f ca="1" t="array" ref="G26">IFERROR(INDEX('Monthly_Cohort_&amp;_Matrix'!$C:$N,(ROW()-17)*2+2,COLUMN()+ROW()-19),"")</f>
        <v/>
      </c>
      <c r="H26" s="19" t="str" cm="1">
        <f ca="1" t="array" ref="H26">IFERROR(INDEX('Monthly_Cohort_&amp;_Matrix'!$C:$N,(ROW()-17)*2+2,COLUMN()+ROW()-19),"")</f>
        <v/>
      </c>
      <c r="I26" s="19" t="str" cm="1">
        <f ca="1" t="array" ref="I26">IFERROR(INDEX('Monthly_Cohort_&amp;_Matrix'!$C:$N,(ROW()-17)*2+2,COLUMN()+ROW()-19),"")</f>
        <v/>
      </c>
      <c r="J26" s="19" t="str" cm="1">
        <f ca="1" t="array" ref="J26">IFERROR(INDEX('Monthly_Cohort_&amp;_Matrix'!$C:$N,(ROW()-17)*2+2,COLUMN()+ROW()-19),"")</f>
        <v/>
      </c>
      <c r="K26" s="19" t="str" cm="1">
        <f ca="1" t="array" ref="K26">IFERROR(INDEX('Monthly_Cohort_&amp;_Matrix'!$C:$N,(ROW()-17)*2+2,COLUMN()+ROW()-19),"")</f>
        <v/>
      </c>
      <c r="L26" s="19" t="str" cm="1">
        <f ca="1" t="array" ref="L26">IFERROR(INDEX('Monthly_Cohort_&amp;_Matrix'!$C:$N,(ROW()-17)*2+2,COLUMN()+ROW()-19),"")</f>
        <v/>
      </c>
      <c r="M26" s="19" t="str" cm="1">
        <f ca="1" t="array" ref="M26">IFERROR(INDEX('Monthly_Cohort_&amp;_Matrix'!$C:$N,(ROW()-17)*2+2,COLUMN()+ROW()-19),"")</f>
        <v/>
      </c>
      <c r="N26" s="20" t="str" cm="1">
        <f ca="1" t="array" ref="N26">IFERROR(INDEX('Monthly_Cohort_&amp;_Matrix'!$C:$N,(ROW()-17)*2+2,COLUMN()+ROW()-19),"")</f>
        <v/>
      </c>
    </row>
    <row r="27" spans="1:14">
      <c r="A27" s="6">
        <v>44958</v>
      </c>
      <c r="B27" s="7">
        <v>3526821.3583757</v>
      </c>
      <c r="C27" s="19" cm="1">
        <f ca="1" t="array" ref="C27">IFERROR(INDEX('Monthly_Cohort_&amp;_Matrix'!$C:$N,(ROW()-17)*2+2,COLUMN()+ROW()-19),"")</f>
        <v>3526821.3583757</v>
      </c>
      <c r="D27" s="19" cm="1">
        <f ca="1" t="array" ref="D27">IFERROR(INDEX('Monthly_Cohort_&amp;_Matrix'!$C:$N,(ROW()-17)*2+2,COLUMN()+ROW()-19),"")</f>
        <v>5357501.09718857</v>
      </c>
      <c r="E27" s="19" t="str" cm="1">
        <f ca="1" t="array" ref="E27">IFERROR(INDEX('Monthly_Cohort_&amp;_Matrix'!$C:$N,(ROW()-17)*2+2,COLUMN()+ROW()-19),"")</f>
        <v/>
      </c>
      <c r="F27" s="19" t="str" cm="1">
        <f ca="1" t="array" ref="F27">IFERROR(INDEX('Monthly_Cohort_&amp;_Matrix'!$C:$N,(ROW()-17)*2+2,COLUMN()+ROW()-19),"")</f>
        <v/>
      </c>
      <c r="G27" s="19" t="str" cm="1">
        <f ca="1" t="array" ref="G27">IFERROR(INDEX('Monthly_Cohort_&amp;_Matrix'!$C:$N,(ROW()-17)*2+2,COLUMN()+ROW()-19),"")</f>
        <v/>
      </c>
      <c r="H27" s="19" t="str" cm="1">
        <f ca="1" t="array" ref="H27">IFERROR(INDEX('Monthly_Cohort_&amp;_Matrix'!$C:$N,(ROW()-17)*2+2,COLUMN()+ROW()-19),"")</f>
        <v/>
      </c>
      <c r="I27" s="19" t="str" cm="1">
        <f ca="1" t="array" ref="I27">IFERROR(INDEX('Monthly_Cohort_&amp;_Matrix'!$C:$N,(ROW()-17)*2+2,COLUMN()+ROW()-19),"")</f>
        <v/>
      </c>
      <c r="J27" s="19" t="str" cm="1">
        <f ca="1" t="array" ref="J27">IFERROR(INDEX('Monthly_Cohort_&amp;_Matrix'!$C:$N,(ROW()-17)*2+2,COLUMN()+ROW()-19),"")</f>
        <v/>
      </c>
      <c r="K27" s="19" t="str" cm="1">
        <f ca="1" t="array" ref="K27">IFERROR(INDEX('Monthly_Cohort_&amp;_Matrix'!$C:$N,(ROW()-17)*2+2,COLUMN()+ROW()-19),"")</f>
        <v/>
      </c>
      <c r="L27" s="19" t="str" cm="1">
        <f ca="1" t="array" ref="L27">IFERROR(INDEX('Monthly_Cohort_&amp;_Matrix'!$C:$N,(ROW()-17)*2+2,COLUMN()+ROW()-19),"")</f>
        <v/>
      </c>
      <c r="M27" s="19" t="str" cm="1">
        <f ca="1" t="array" ref="M27">IFERROR(INDEX('Monthly_Cohort_&amp;_Matrix'!$C:$N,(ROW()-17)*2+2,COLUMN()+ROW()-19),"")</f>
        <v/>
      </c>
      <c r="N27" s="20" t="str" cm="1">
        <f ca="1" t="array" ref="N27">IFERROR(INDEX('Monthly_Cohort_&amp;_Matrix'!$C:$N,(ROW()-17)*2+2,COLUMN()+ROW()-19),"")</f>
        <v/>
      </c>
    </row>
    <row r="28" spans="1:14">
      <c r="A28" s="10">
        <v>44986</v>
      </c>
      <c r="B28" s="16">
        <v>2727451.83093454</v>
      </c>
      <c r="C28" s="21" cm="1">
        <f ca="1" t="array" ref="C28">IFERROR(INDEX('Monthly_Cohort_&amp;_Matrix'!$C:$N,(ROW()-17)*2+2,COLUMN()+ROW()-19),"")</f>
        <v>2727451.83093454</v>
      </c>
      <c r="D28" s="21" t="str" cm="1">
        <f ca="1" t="array" ref="D28">IFERROR(INDEX('Monthly_Cohort_&amp;_Matrix'!$C:$N,(ROW()-17)*2+2,COLUMN()+ROW()-19),"")</f>
        <v/>
      </c>
      <c r="E28" s="21" t="str" cm="1">
        <f ca="1" t="array" ref="E28">IFERROR(INDEX('Monthly_Cohort_&amp;_Matrix'!$C:$N,(ROW()-17)*2+2,COLUMN()+ROW()-19),"")</f>
        <v/>
      </c>
      <c r="F28" s="21" t="str" cm="1">
        <f ca="1" t="array" ref="F28">IFERROR(INDEX('Monthly_Cohort_&amp;_Matrix'!$C:$N,(ROW()-17)*2+2,COLUMN()+ROW()-19),"")</f>
        <v/>
      </c>
      <c r="G28" s="21" t="str" cm="1">
        <f ca="1" t="array" ref="G28">IFERROR(INDEX('Monthly_Cohort_&amp;_Matrix'!$C:$N,(ROW()-17)*2+2,COLUMN()+ROW()-19),"")</f>
        <v/>
      </c>
      <c r="H28" s="21" t="str" cm="1">
        <f ca="1" t="array" ref="H28">IFERROR(INDEX('Monthly_Cohort_&amp;_Matrix'!$C:$N,(ROW()-17)*2+2,COLUMN()+ROW()-19),"")</f>
        <v/>
      </c>
      <c r="I28" s="21" t="str" cm="1">
        <f ca="1" t="array" ref="I28">IFERROR(INDEX('Monthly_Cohort_&amp;_Matrix'!$C:$N,(ROW()-17)*2+2,COLUMN()+ROW()-19),"")</f>
        <v/>
      </c>
      <c r="J28" s="21" t="str" cm="1">
        <f ca="1" t="array" ref="J28">IFERROR(INDEX('Monthly_Cohort_&amp;_Matrix'!$C:$N,(ROW()-17)*2+2,COLUMN()+ROW()-19),"")</f>
        <v/>
      </c>
      <c r="K28" s="21" t="str" cm="1">
        <f ca="1" t="array" ref="K28">IFERROR(INDEX('Monthly_Cohort_&amp;_Matrix'!$C:$N,(ROW()-17)*2+2,COLUMN()+ROW()-19),"")</f>
        <v/>
      </c>
      <c r="L28" s="21" t="str" cm="1">
        <f ca="1" t="array" ref="L28">IFERROR(INDEX('Monthly_Cohort_&amp;_Matrix'!$C:$N,(ROW()-17)*2+2,COLUMN()+ROW()-19),"")</f>
        <v/>
      </c>
      <c r="M28" s="21" t="str" cm="1">
        <f ca="1" t="array" ref="M28">IFERROR(INDEX('Monthly_Cohort_&amp;_Matrix'!$C:$N,(ROW()-17)*2+2,COLUMN()+ROW()-19),"")</f>
        <v/>
      </c>
      <c r="N28" s="22" t="str" cm="1">
        <f ca="1" t="array" ref="N28">IFERROR(INDEX('Monthly_Cohort_&amp;_Matrix'!$C:$N,(ROW()-17)*2+2,COLUMN()+ROW()-19),"")</f>
        <v/>
      </c>
    </row>
  </sheetData>
  <conditionalFormatting sqref="C2:C13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{14b17256-cfe4-4cfd-b21e-2cc3d663d086}</x14:id>
        </ext>
      </extLst>
    </cfRule>
  </conditionalFormatting>
  <conditionalFormatting sqref="C17:C2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{bcb72351-2da1-477b-bca9-603760936b09}</x14:id>
        </ext>
      </extLst>
    </cfRule>
  </conditionalFormatting>
  <conditionalFormatting sqref="D2:D13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{9c7a52ff-e9fb-46cb-86ed-a0a9f06cb5fb}</x14:id>
        </ext>
      </extLst>
    </cfRule>
  </conditionalFormatting>
  <conditionalFormatting sqref="D17:D2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{22d7740f-938a-496c-be35-d6460c692b3b}</x14:id>
        </ext>
      </extLst>
    </cfRule>
  </conditionalFormatting>
  <conditionalFormatting sqref="E2:E13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{5f578f78-9d23-4e71-8b26-7a522d7ee613}</x14:id>
        </ext>
      </extLst>
    </cfRule>
  </conditionalFormatting>
  <conditionalFormatting sqref="E17:E2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{1d3bec2e-3ee5-4380-bec8-6638a8f79d10}</x14:id>
        </ext>
      </extLst>
    </cfRule>
  </conditionalFormatting>
  <conditionalFormatting sqref="F2:F13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{759521f0-91d5-49e3-a010-8cbe1fadb143}</x14:id>
        </ext>
      </extLst>
    </cfRule>
  </conditionalFormatting>
  <conditionalFormatting sqref="F17:F28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{db4a1ce7-374b-41f1-b7da-9249aa742b78}</x14:id>
        </ext>
      </extLst>
    </cfRule>
  </conditionalFormatting>
  <conditionalFormatting sqref="G2:G13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{e84b094a-6f69-4be5-bc42-ec9d79c2311d}</x14:id>
        </ext>
      </extLst>
    </cfRule>
  </conditionalFormatting>
  <conditionalFormatting sqref="G17:G2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{78c5ee94-07db-4f79-b2b7-6b2aa95a0733}</x14:id>
        </ext>
      </extLst>
    </cfRule>
  </conditionalFormatting>
  <conditionalFormatting sqref="H2:H13"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{fc2b0092-4594-4321-a58a-341fd45f2488}</x14:id>
        </ext>
      </extLst>
    </cfRule>
  </conditionalFormatting>
  <conditionalFormatting sqref="H17:H28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{8e79bfa1-685a-4fcb-879a-dcaaf13efd28}</x14:id>
        </ext>
      </extLst>
    </cfRule>
  </conditionalFormatting>
  <conditionalFormatting sqref="I2:I13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{61b1effd-172f-4025-91dc-3357ff350345}</x14:id>
        </ext>
      </extLst>
    </cfRule>
  </conditionalFormatting>
  <conditionalFormatting sqref="I17:I28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{029fcab1-8edb-4089-968c-5f63484b70de}</x14:id>
        </ext>
      </extLst>
    </cfRule>
  </conditionalFormatting>
  <conditionalFormatting sqref="J2:J13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{f2fb9e6b-148a-4edc-8459-6be9fbf805d5}</x14:id>
        </ext>
      </extLst>
    </cfRule>
  </conditionalFormatting>
  <conditionalFormatting sqref="J17:J2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{51fdc7c2-ba75-4ae0-9d33-c21cb5e5a9c7}</x14:id>
        </ext>
      </extLst>
    </cfRule>
  </conditionalFormatting>
  <conditionalFormatting sqref="K2:K13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{d323152b-9a0d-4989-a7bf-8552691c7e77}</x14:id>
        </ext>
      </extLst>
    </cfRule>
  </conditionalFormatting>
  <conditionalFormatting sqref="K17:K2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{3a1cdb21-51cb-44ba-a44e-0a223345dfa2}</x14:id>
        </ext>
      </extLst>
    </cfRule>
  </conditionalFormatting>
  <conditionalFormatting sqref="L2:L13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{cb5a4a42-47f5-4a37-bd9d-6c1a56f4c1f8}</x14:id>
        </ext>
      </extLst>
    </cfRule>
  </conditionalFormatting>
  <conditionalFormatting sqref="L17:L28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{2de166a1-e873-4161-84d4-8d4ca9c387c2}</x14:id>
        </ext>
      </extLst>
    </cfRule>
  </conditionalFormatting>
  <conditionalFormatting sqref="M2:M1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{f9c26b2b-1082-41ea-8656-7677c605cde0}</x14:id>
        </ext>
      </extLst>
    </cfRule>
  </conditionalFormatting>
  <conditionalFormatting sqref="M17:M2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{598b342a-e9d6-48a2-a5c3-a583fecaf12b}</x14:id>
        </ext>
      </extLst>
    </cfRule>
  </conditionalFormatting>
  <conditionalFormatting sqref="N2:N13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{acbb27b9-8d81-4fd3-9490-fd6e4640b919}</x14:id>
        </ext>
      </extLst>
    </cfRule>
  </conditionalFormatting>
  <conditionalFormatting sqref="N17:N28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{d5dd954a-62b4-4262-bc32-624c4647f098}</x14:id>
        </ext>
      </extLst>
    </cfRule>
  </conditionalFormatting>
  <printOptions horizontalCentered="1" verticalCentered="1"/>
  <pageMargins left="0.75" right="0.75" top="1" bottom="1" header="0.5" footer="0.5"/>
  <pageSetup paperSize="1" scale="92" orientation="landscape" horizontalDpi="6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b17256-cfe4-4cfd-b21e-2cc3d663d0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C2:C13</xm:sqref>
        </x14:conditionalFormatting>
        <x14:conditionalFormatting xmlns:xm="http://schemas.microsoft.com/office/excel/2006/main">
          <x14:cfRule type="dataBar" id="{bcb72351-2da1-477b-bca9-603760936b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C17:C28</xm:sqref>
        </x14:conditionalFormatting>
        <x14:conditionalFormatting xmlns:xm="http://schemas.microsoft.com/office/excel/2006/main">
          <x14:cfRule type="dataBar" id="{9c7a52ff-e9fb-46cb-86ed-a0a9f06cb5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D2:D13</xm:sqref>
        </x14:conditionalFormatting>
        <x14:conditionalFormatting xmlns:xm="http://schemas.microsoft.com/office/excel/2006/main">
          <x14:cfRule type="dataBar" id="{22d7740f-938a-496c-be35-d6460c692b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D17:D28</xm:sqref>
        </x14:conditionalFormatting>
        <x14:conditionalFormatting xmlns:xm="http://schemas.microsoft.com/office/excel/2006/main">
          <x14:cfRule type="dataBar" id="{5f578f78-9d23-4e71-8b26-7a522d7ee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E2:E13</xm:sqref>
        </x14:conditionalFormatting>
        <x14:conditionalFormatting xmlns:xm="http://schemas.microsoft.com/office/excel/2006/main">
          <x14:cfRule type="dataBar" id="{1d3bec2e-3ee5-4380-bec8-6638a8f79d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E17:E28</xm:sqref>
        </x14:conditionalFormatting>
        <x14:conditionalFormatting xmlns:xm="http://schemas.microsoft.com/office/excel/2006/main">
          <x14:cfRule type="dataBar" id="{759521f0-91d5-49e3-a010-8cbe1fadb14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F2:F13</xm:sqref>
        </x14:conditionalFormatting>
        <x14:conditionalFormatting xmlns:xm="http://schemas.microsoft.com/office/excel/2006/main">
          <x14:cfRule type="dataBar" id="{db4a1ce7-374b-41f1-b7da-9249aa742b7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F17:F28</xm:sqref>
        </x14:conditionalFormatting>
        <x14:conditionalFormatting xmlns:xm="http://schemas.microsoft.com/office/excel/2006/main">
          <x14:cfRule type="dataBar" id="{e84b094a-6f69-4be5-bc42-ec9d79c231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G2:G13</xm:sqref>
        </x14:conditionalFormatting>
        <x14:conditionalFormatting xmlns:xm="http://schemas.microsoft.com/office/excel/2006/main">
          <x14:cfRule type="dataBar" id="{78c5ee94-07db-4f79-b2b7-6b2aa95a07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G17:G28</xm:sqref>
        </x14:conditionalFormatting>
        <x14:conditionalFormatting xmlns:xm="http://schemas.microsoft.com/office/excel/2006/main">
          <x14:cfRule type="dataBar" id="{fc2b0092-4594-4321-a58a-341fd45f24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H2:H13</xm:sqref>
        </x14:conditionalFormatting>
        <x14:conditionalFormatting xmlns:xm="http://schemas.microsoft.com/office/excel/2006/main">
          <x14:cfRule type="dataBar" id="{8e79bfa1-685a-4fcb-879a-dcaaf13efd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H17:H28</xm:sqref>
        </x14:conditionalFormatting>
        <x14:conditionalFormatting xmlns:xm="http://schemas.microsoft.com/office/excel/2006/main">
          <x14:cfRule type="dataBar" id="{61b1effd-172f-4025-91dc-3357ff3503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I2:I13</xm:sqref>
        </x14:conditionalFormatting>
        <x14:conditionalFormatting xmlns:xm="http://schemas.microsoft.com/office/excel/2006/main">
          <x14:cfRule type="dataBar" id="{029fcab1-8edb-4089-968c-5f63484b70d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I17:I28</xm:sqref>
        </x14:conditionalFormatting>
        <x14:conditionalFormatting xmlns:xm="http://schemas.microsoft.com/office/excel/2006/main">
          <x14:cfRule type="dataBar" id="{f2fb9e6b-148a-4edc-8459-6be9fbf805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J2:J13</xm:sqref>
        </x14:conditionalFormatting>
        <x14:conditionalFormatting xmlns:xm="http://schemas.microsoft.com/office/excel/2006/main">
          <x14:cfRule type="dataBar" id="{51fdc7c2-ba75-4ae0-9d33-c21cb5e5a9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J17:J28</xm:sqref>
        </x14:conditionalFormatting>
        <x14:conditionalFormatting xmlns:xm="http://schemas.microsoft.com/office/excel/2006/main">
          <x14:cfRule type="dataBar" id="{d323152b-9a0d-4989-a7bf-8552691c7e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K2:K13</xm:sqref>
        </x14:conditionalFormatting>
        <x14:conditionalFormatting xmlns:xm="http://schemas.microsoft.com/office/excel/2006/main">
          <x14:cfRule type="dataBar" id="{3a1cdb21-51cb-44ba-a44e-0a223345d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K17:K28</xm:sqref>
        </x14:conditionalFormatting>
        <x14:conditionalFormatting xmlns:xm="http://schemas.microsoft.com/office/excel/2006/main">
          <x14:cfRule type="dataBar" id="{cb5a4a42-47f5-4a37-bd9d-6c1a56f4c1f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L2:L13</xm:sqref>
        </x14:conditionalFormatting>
        <x14:conditionalFormatting xmlns:xm="http://schemas.microsoft.com/office/excel/2006/main">
          <x14:cfRule type="dataBar" id="{2de166a1-e873-4161-84d4-8d4ca9c387c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L17:L28</xm:sqref>
        </x14:conditionalFormatting>
        <x14:conditionalFormatting xmlns:xm="http://schemas.microsoft.com/office/excel/2006/main">
          <x14:cfRule type="dataBar" id="{f9c26b2b-1082-41ea-8656-7677c605cd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M2:M13</xm:sqref>
        </x14:conditionalFormatting>
        <x14:conditionalFormatting xmlns:xm="http://schemas.microsoft.com/office/excel/2006/main">
          <x14:cfRule type="dataBar" id="{598b342a-e9d6-48a2-a5c3-a583fecaf1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M17:M28</xm:sqref>
        </x14:conditionalFormatting>
        <x14:conditionalFormatting xmlns:xm="http://schemas.microsoft.com/office/excel/2006/main">
          <x14:cfRule type="dataBar" id="{acbb27b9-8d81-4fd3-9490-fd6e4640b9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N2:N13</xm:sqref>
        </x14:conditionalFormatting>
        <x14:conditionalFormatting xmlns:xm="http://schemas.microsoft.com/office/excel/2006/main">
          <x14:cfRule type="dataBar" id="{d5dd954a-62b4-4262-bc32-624c4647f0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N17:N28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8"/>
  <sheetViews>
    <sheetView workbookViewId="0">
      <selection activeCell="H27" sqref="H27"/>
    </sheetView>
  </sheetViews>
  <sheetFormatPr defaultColWidth="8.79279279279279" defaultRowHeight="14.4"/>
  <cols>
    <col min="1" max="2" width="15.5675675675676" style="1" customWidth="1"/>
    <col min="3" max="14" width="8.87387387387387" style="2" customWidth="1"/>
  </cols>
  <sheetData>
    <row r="1" spans="1:14">
      <c r="A1" s="3" t="s">
        <v>0</v>
      </c>
      <c r="B1" s="4" t="s">
        <v>8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13" t="s">
        <v>24</v>
      </c>
    </row>
    <row r="2" spans="1:14">
      <c r="A2" s="6">
        <v>44652</v>
      </c>
      <c r="B2" s="7" cm="1">
        <f ca="1" t="array" ref="B2:B13">TRANSPOSE('Monthly_Cohort_&amp;_Matrix'!C30:N30)</f>
        <v>11871</v>
      </c>
      <c r="C2" s="14" cm="1">
        <f ca="1" t="array" ref="C2">IFERROR(IFERROR(INDEX('Monthly_Cohort_&amp;_Matrix'!$C:$N,(ROW()-2)*2+3,COLUMN()+ROW()-4),"")/$B2,"")</f>
        <v>1</v>
      </c>
      <c r="D2" s="14" cm="1">
        <f ca="1" t="array" ref="D2">IFERROR(IFERROR(INDEX('Monthly_Cohort_&amp;_Matrix'!$C:$N,(ROW()-2)*2+3,COLUMN()+ROW()-4),"")/$B2,"")</f>
        <v>0.118271417740713</v>
      </c>
      <c r="E2" s="14" cm="1">
        <f ca="1" t="array" ref="E2">IFERROR(IFERROR(INDEX('Monthly_Cohort_&amp;_Matrix'!$C:$N,(ROW()-2)*2+3,COLUMN()+ROW()-4),"")/$B2,"")</f>
        <v>0.0541656136803976</v>
      </c>
      <c r="F2" s="14" cm="1">
        <f ca="1" t="array" ref="F2">IFERROR(IFERROR(INDEX('Monthly_Cohort_&amp;_Matrix'!$C:$N,(ROW()-2)*2+3,COLUMN()+ROW()-4),"")/$B2,"")</f>
        <v>0.0442254233004802</v>
      </c>
      <c r="G2" s="14" cm="1">
        <f ca="1" t="array" ref="G2">IFERROR(IFERROR(INDEX('Monthly_Cohort_&amp;_Matrix'!$C:$N,(ROW()-2)*2+3,COLUMN()+ROW()-4),"")/$B2,"")</f>
        <v>0.0287254654199309</v>
      </c>
      <c r="H2" s="14" cm="1">
        <f ca="1" t="array" ref="H2">IFERROR(IFERROR(INDEX('Monthly_Cohort_&amp;_Matrix'!$C:$N,(ROW()-2)*2+3,COLUMN()+ROW()-4),"")/$B2,"")</f>
        <v>0.0277145986016342</v>
      </c>
      <c r="I2" s="14" cm="1">
        <f ca="1" t="array" ref="I2">IFERROR(IFERROR(INDEX('Monthly_Cohort_&amp;_Matrix'!$C:$N,(ROW()-2)*2+3,COLUMN()+ROW()-4),"")/$B2,"")</f>
        <v>0.0276303597001095</v>
      </c>
      <c r="J2" s="14" cm="1">
        <f ca="1" t="array" ref="J2">IFERROR(IFERROR(INDEX('Monthly_Cohort_&amp;_Matrix'!$C:$N,(ROW()-2)*2+3,COLUMN()+ROW()-4),"")/$B2,"")</f>
        <v>0.0203858141689832</v>
      </c>
      <c r="K2" s="14" cm="1">
        <f ca="1" t="array" ref="K2">IFERROR(IFERROR(INDEX('Monthly_Cohort_&amp;_Matrix'!$C:$N,(ROW()-2)*2+3,COLUMN()+ROW()-4),"")/$B2,"")</f>
        <v>0.0192064695476371</v>
      </c>
      <c r="L2" s="14" cm="1">
        <f ca="1" t="array" ref="L2">IFERROR(IFERROR(INDEX('Monthly_Cohort_&amp;_Matrix'!$C:$N,(ROW()-2)*2+3,COLUMN()+ROW()-4),"")/$B2,"")</f>
        <v>0.0185325583354393</v>
      </c>
      <c r="M2" s="14" cm="1">
        <f ca="1" t="array" ref="M2">IFERROR(IFERROR(INDEX('Monthly_Cohort_&amp;_Matrix'!$C:$N,(ROW()-2)*2+3,COLUMN()+ROW()-4),"")/$B2,"")</f>
        <v>0.0150787633729256</v>
      </c>
      <c r="N2" s="15" cm="1">
        <f ca="1" t="array" ref="N2">IFERROR(IFERROR(INDEX('Monthly_Cohort_&amp;_Matrix'!$C:$N,(ROW()-2)*2+3,COLUMN()+ROW()-4),"")/$B2,"")</f>
        <v>0.0138151798500548</v>
      </c>
    </row>
    <row r="3" spans="1:14">
      <c r="A3" s="6">
        <v>44682</v>
      </c>
      <c r="B3" s="7">
        <v>15998</v>
      </c>
      <c r="C3" s="14" cm="1">
        <f ca="1" t="array" ref="C3">IFERROR(IFERROR(INDEX('Monthly_Cohort_&amp;_Matrix'!$C:$N,(ROW()-2)*2+3,COLUMN()+ROW()-4),"")/$B3,"")</f>
        <v>1</v>
      </c>
      <c r="D3" s="14" cm="1">
        <f ca="1" t="array" ref="D3">IFERROR(IFERROR(INDEX('Monthly_Cohort_&amp;_Matrix'!$C:$N,(ROW()-2)*2+3,COLUMN()+ROW()-4),"")/$B3,"")</f>
        <v>0.120265033129141</v>
      </c>
      <c r="E3" s="14" cm="1">
        <f ca="1" t="array" ref="E3">IFERROR(IFERROR(INDEX('Monthly_Cohort_&amp;_Matrix'!$C:$N,(ROW()-2)*2+3,COLUMN()+ROW()-4),"")/$B3,"")</f>
        <v>0.0572571571446431</v>
      </c>
      <c r="F3" s="14" cm="1">
        <f ca="1" t="array" ref="F3">IFERROR(IFERROR(INDEX('Monthly_Cohort_&amp;_Matrix'!$C:$N,(ROW()-2)*2+3,COLUMN()+ROW()-4),"")/$B3,"")</f>
        <v>0.0383172896612076</v>
      </c>
      <c r="G3" s="14" cm="1">
        <f ca="1" t="array" ref="G3">IFERROR(IFERROR(INDEX('Monthly_Cohort_&amp;_Matrix'!$C:$N,(ROW()-2)*2+3,COLUMN()+ROW()-4),"")/$B3,"")</f>
        <v>0.0302537817227153</v>
      </c>
      <c r="H3" s="14" cm="1">
        <f ca="1" t="array" ref="H3">IFERROR(IFERROR(INDEX('Monthly_Cohort_&amp;_Matrix'!$C:$N,(ROW()-2)*2+3,COLUMN()+ROW()-4),"")/$B3,"")</f>
        <v>0.0296912114014252</v>
      </c>
      <c r="I3" s="14" cm="1">
        <f ca="1" t="array" ref="I3">IFERROR(IFERROR(INDEX('Monthly_Cohort_&amp;_Matrix'!$C:$N,(ROW()-2)*2+3,COLUMN()+ROW()-4),"")/$B3,"")</f>
        <v>0.0223777972246531</v>
      </c>
      <c r="J3" s="14" cm="1">
        <f ca="1" t="array" ref="J3">IFERROR(IFERROR(INDEX('Monthly_Cohort_&amp;_Matrix'!$C:$N,(ROW()-2)*2+3,COLUMN()+ROW()-4),"")/$B3,"")</f>
        <v>0.021002625328166</v>
      </c>
      <c r="K3" s="14" cm="1">
        <f ca="1" t="array" ref="K3">IFERROR(IFERROR(INDEX('Monthly_Cohort_&amp;_Matrix'!$C:$N,(ROW()-2)*2+3,COLUMN()+ROW()-4),"")/$B3,"")</f>
        <v>0.0195649456182023</v>
      </c>
      <c r="L3" s="14" cm="1">
        <f ca="1" t="array" ref="L3">IFERROR(IFERROR(INDEX('Monthly_Cohort_&amp;_Matrix'!$C:$N,(ROW()-2)*2+3,COLUMN()+ROW()-4),"")/$B3,"")</f>
        <v>0.0190023752969121</v>
      </c>
      <c r="M3" s="14" cm="1">
        <f ca="1" t="array" ref="M3">IFERROR(IFERROR(INDEX('Monthly_Cohort_&amp;_Matrix'!$C:$N,(ROW()-2)*2+3,COLUMN()+ROW()-4),"")/$B3,"")</f>
        <v>0.0170646330791349</v>
      </c>
      <c r="N3" s="15" t="str" cm="1">
        <f ca="1" t="array" ref="N3">IFERROR(IFERROR(INDEX('Monthly_Cohort_&amp;_Matrix'!$C:$N,(ROW()-2)*2+3,COLUMN()+ROW()-4),"")/$B3,"")</f>
        <v/>
      </c>
    </row>
    <row r="4" spans="1:14">
      <c r="A4" s="6">
        <v>44713</v>
      </c>
      <c r="B4" s="7">
        <v>19147</v>
      </c>
      <c r="C4" s="14" cm="1">
        <f ca="1" t="array" ref="C4">IFERROR(IFERROR(INDEX('Monthly_Cohort_&amp;_Matrix'!$C:$N,(ROW()-2)*2+3,COLUMN()+ROW()-4),"")/$B4,"")</f>
        <v>1</v>
      </c>
      <c r="D4" s="14" cm="1">
        <f ca="1" t="array" ref="D4">IFERROR(IFERROR(INDEX('Monthly_Cohort_&amp;_Matrix'!$C:$N,(ROW()-2)*2+3,COLUMN()+ROW()-4),"")/$B4,"")</f>
        <v>0.113908184049721</v>
      </c>
      <c r="E4" s="14" cm="1">
        <f ca="1" t="array" ref="E4">IFERROR(IFERROR(INDEX('Monthly_Cohort_&amp;_Matrix'!$C:$N,(ROW()-2)*2+3,COLUMN()+ROW()-4),"")/$B4,"")</f>
        <v>0.0361936595811354</v>
      </c>
      <c r="F4" s="14" cm="1">
        <f ca="1" t="array" ref="F4">IFERROR(IFERROR(INDEX('Monthly_Cohort_&amp;_Matrix'!$C:$N,(ROW()-2)*2+3,COLUMN()+ROW()-4),"")/$B4,"")</f>
        <v>0.030814226771818</v>
      </c>
      <c r="G4" s="14" cm="1">
        <f ca="1" t="array" ref="G4">IFERROR(IFERROR(INDEX('Monthly_Cohort_&amp;_Matrix'!$C:$N,(ROW()-2)*2+3,COLUMN()+ROW()-4),"")/$B4,"")</f>
        <v>0.0264793440225623</v>
      </c>
      <c r="H4" s="14" cm="1">
        <f ca="1" t="array" ref="H4">IFERROR(IFERROR(INDEX('Monthly_Cohort_&amp;_Matrix'!$C:$N,(ROW()-2)*2+3,COLUMN()+ROW()-4),"")/$B4,"")</f>
        <v>0.0173917585000261</v>
      </c>
      <c r="I4" s="14" cm="1">
        <f ca="1" t="array" ref="I4">IFERROR(IFERROR(INDEX('Monthly_Cohort_&amp;_Matrix'!$C:$N,(ROW()-2)*2+3,COLUMN()+ROW()-4),"")/$B4,"")</f>
        <v>0.0158249334099337</v>
      </c>
      <c r="J4" s="14" cm="1">
        <f ca="1" t="array" ref="J4">IFERROR(IFERROR(INDEX('Monthly_Cohort_&amp;_Matrix'!$C:$N,(ROW()-2)*2+3,COLUMN()+ROW()-4),"")/$B4,"")</f>
        <v>0.0132657857627827</v>
      </c>
      <c r="K4" s="14" cm="1">
        <f ca="1" t="array" ref="K4">IFERROR(IFERROR(INDEX('Monthly_Cohort_&amp;_Matrix'!$C:$N,(ROW()-2)*2+3,COLUMN()+ROW()-4),"")/$B4,"")</f>
        <v>0.0137880607928135</v>
      </c>
      <c r="L4" s="14" cm="1">
        <f ca="1" t="array" ref="L4">IFERROR(IFERROR(INDEX('Monthly_Cohort_&amp;_Matrix'!$C:$N,(ROW()-2)*2+3,COLUMN()+ROW()-4),"")/$B4,"")</f>
        <v>0.0113855956546718</v>
      </c>
      <c r="M4" s="14" t="str" cm="1">
        <f ca="1" t="array" ref="M4">IFERROR(IFERROR(INDEX('Monthly_Cohort_&amp;_Matrix'!$C:$N,(ROW()-2)*2+3,COLUMN()+ROW()-4),"")/$B4,"")</f>
        <v/>
      </c>
      <c r="N4" s="15" t="str" cm="1">
        <f ca="1" t="array" ref="N4">IFERROR(IFERROR(INDEX('Monthly_Cohort_&amp;_Matrix'!$C:$N,(ROW()-2)*2+3,COLUMN()+ROW()-4),"")/$B4,"")</f>
        <v/>
      </c>
    </row>
    <row r="5" spans="1:14">
      <c r="A5" s="6">
        <v>44743</v>
      </c>
      <c r="B5" s="7">
        <v>19360</v>
      </c>
      <c r="C5" s="14" cm="1">
        <f ca="1" t="array" ref="C5">IFERROR(IFERROR(INDEX('Monthly_Cohort_&amp;_Matrix'!$C:$N,(ROW()-2)*2+3,COLUMN()+ROW()-4),"")/$B5,"")</f>
        <v>1</v>
      </c>
      <c r="D5" s="14" cm="1">
        <f ca="1" t="array" ref="D5">IFERROR(IFERROR(INDEX('Monthly_Cohort_&amp;_Matrix'!$C:$N,(ROW()-2)*2+3,COLUMN()+ROW()-4),"")/$B5,"")</f>
        <v>0.0871900826446281</v>
      </c>
      <c r="E5" s="14" cm="1">
        <f ca="1" t="array" ref="E5">IFERROR(IFERROR(INDEX('Monthly_Cohort_&amp;_Matrix'!$C:$N,(ROW()-2)*2+3,COLUMN()+ROW()-4),"")/$B5,"")</f>
        <v>0.0429235537190083</v>
      </c>
      <c r="F5" s="14" cm="1">
        <f ca="1" t="array" ref="F5">IFERROR(IFERROR(INDEX('Monthly_Cohort_&amp;_Matrix'!$C:$N,(ROW()-2)*2+3,COLUMN()+ROW()-4),"")/$B5,"")</f>
        <v>0.0326446280991736</v>
      </c>
      <c r="G5" s="14" cm="1">
        <f ca="1" t="array" ref="G5">IFERROR(IFERROR(INDEX('Monthly_Cohort_&amp;_Matrix'!$C:$N,(ROW()-2)*2+3,COLUMN()+ROW()-4),"")/$B5,"")</f>
        <v>0.0209194214876033</v>
      </c>
      <c r="H5" s="14" cm="1">
        <f ca="1" t="array" ref="H5">IFERROR(IFERROR(INDEX('Monthly_Cohort_&amp;_Matrix'!$C:$N,(ROW()-2)*2+3,COLUMN()+ROW()-4),"")/$B5,"")</f>
        <v>0.0184400826446281</v>
      </c>
      <c r="I5" s="14" cm="1">
        <f ca="1" t="array" ref="I5">IFERROR(IFERROR(INDEX('Monthly_Cohort_&amp;_Matrix'!$C:$N,(ROW()-2)*2+3,COLUMN()+ROW()-4),"")/$B5,"")</f>
        <v>0.0167871900826446</v>
      </c>
      <c r="J5" s="14" cm="1">
        <f ca="1" t="array" ref="J5">IFERROR(IFERROR(INDEX('Monthly_Cohort_&amp;_Matrix'!$C:$N,(ROW()-2)*2+3,COLUMN()+ROW()-4),"")/$B5,"")</f>
        <v>0.0147727272727273</v>
      </c>
      <c r="K5" s="14" cm="1">
        <f ca="1" t="array" ref="K5">IFERROR(IFERROR(INDEX('Monthly_Cohort_&amp;_Matrix'!$C:$N,(ROW()-2)*2+3,COLUMN()+ROW()-4),"")/$B5,"")</f>
        <v>0.012551652892562</v>
      </c>
      <c r="L5" s="14" t="str" cm="1">
        <f ca="1" t="array" ref="L5">IFERROR(IFERROR(INDEX('Monthly_Cohort_&amp;_Matrix'!$C:$N,(ROW()-2)*2+3,COLUMN()+ROW()-4),"")/$B5,"")</f>
        <v/>
      </c>
      <c r="M5" s="14" t="str" cm="1">
        <f ca="1" t="array" ref="M5">IFERROR(IFERROR(INDEX('Monthly_Cohort_&amp;_Matrix'!$C:$N,(ROW()-2)*2+3,COLUMN()+ROW()-4),"")/$B5,"")</f>
        <v/>
      </c>
      <c r="N5" s="15" t="str" cm="1">
        <f ca="1" t="array" ref="N5">IFERROR(IFERROR(INDEX('Monthly_Cohort_&amp;_Matrix'!$C:$N,(ROW()-2)*2+3,COLUMN()+ROW()-4),"")/$B5,"")</f>
        <v/>
      </c>
    </row>
    <row r="6" spans="1:14">
      <c r="A6" s="6">
        <v>44774</v>
      </c>
      <c r="B6" s="7">
        <v>18585</v>
      </c>
      <c r="C6" s="14" cm="1">
        <f ca="1" t="array" ref="C6">IFERROR(IFERROR(INDEX('Monthly_Cohort_&amp;_Matrix'!$C:$N,(ROW()-2)*2+3,COLUMN()+ROW()-4),"")/$B6,"")</f>
        <v>1</v>
      </c>
      <c r="D6" s="14" cm="1">
        <f ca="1" t="array" ref="D6">IFERROR(IFERROR(INDEX('Monthly_Cohort_&amp;_Matrix'!$C:$N,(ROW()-2)*2+3,COLUMN()+ROW()-4),"")/$B6,"")</f>
        <v>0.0804950228679042</v>
      </c>
      <c r="E6" s="14" cm="1">
        <f ca="1" t="array" ref="E6">IFERROR(IFERROR(INDEX('Monthly_Cohort_&amp;_Matrix'!$C:$N,(ROW()-2)*2+3,COLUMN()+ROW()-4),"")/$B6,"")</f>
        <v>0.0390637610976594</v>
      </c>
      <c r="F6" s="14" cm="1">
        <f ca="1" t="array" ref="F6">IFERROR(IFERROR(INDEX('Monthly_Cohort_&amp;_Matrix'!$C:$N,(ROW()-2)*2+3,COLUMN()+ROW()-4),"")/$B6,"")</f>
        <v>0.0208232445520581</v>
      </c>
      <c r="G6" s="14" cm="1">
        <f ca="1" t="array" ref="G6">IFERROR(IFERROR(INDEX('Monthly_Cohort_&amp;_Matrix'!$C:$N,(ROW()-2)*2+3,COLUMN()+ROW()-4),"")/$B6,"")</f>
        <v>0.0196933010492333</v>
      </c>
      <c r="H6" s="14" cm="1">
        <f ca="1" t="array" ref="H6">IFERROR(IFERROR(INDEX('Monthly_Cohort_&amp;_Matrix'!$C:$N,(ROW()-2)*2+3,COLUMN()+ROW()-4),"")/$B6,"")</f>
        <v>0.0154425612052731</v>
      </c>
      <c r="I6" s="14" cm="1">
        <f ca="1" t="array" ref="I6">IFERROR(IFERROR(INDEX('Monthly_Cohort_&amp;_Matrix'!$C:$N,(ROW()-2)*2+3,COLUMN()+ROW()-4),"")/$B6,"")</f>
        <v>0.0127522195318805</v>
      </c>
      <c r="J6" s="14" cm="1">
        <f ca="1" t="array" ref="J6">IFERROR(IFERROR(INDEX('Monthly_Cohort_&amp;_Matrix'!$C:$N,(ROW()-2)*2+3,COLUMN()+ROW()-4),"")/$B6,"")</f>
        <v>0.0107075598601022</v>
      </c>
      <c r="K6" s="14" t="str" cm="1">
        <f ca="1" t="array" ref="K6">IFERROR(IFERROR(INDEX('Monthly_Cohort_&amp;_Matrix'!$C:$N,(ROW()-2)*2+3,COLUMN()+ROW()-4),"")/$B6,"")</f>
        <v/>
      </c>
      <c r="L6" s="14" t="str" cm="1">
        <f ca="1" t="array" ref="L6">IFERROR(IFERROR(INDEX('Monthly_Cohort_&amp;_Matrix'!$C:$N,(ROW()-2)*2+3,COLUMN()+ROW()-4),"")/$B6,"")</f>
        <v/>
      </c>
      <c r="M6" s="14" t="str" cm="1">
        <f ca="1" t="array" ref="M6">IFERROR(IFERROR(INDEX('Monthly_Cohort_&amp;_Matrix'!$C:$N,(ROW()-2)*2+3,COLUMN()+ROW()-4),"")/$B6,"")</f>
        <v/>
      </c>
      <c r="N6" s="15" t="str" cm="1">
        <f ca="1" t="array" ref="N6">IFERROR(IFERROR(INDEX('Monthly_Cohort_&amp;_Matrix'!$C:$N,(ROW()-2)*2+3,COLUMN()+ROW()-4),"")/$B6,"")</f>
        <v/>
      </c>
    </row>
    <row r="7" spans="1:14">
      <c r="A7" s="6">
        <v>44805</v>
      </c>
      <c r="B7" s="7">
        <v>13772</v>
      </c>
      <c r="C7" s="14" cm="1">
        <f ca="1" t="array" ref="C7">IFERROR(IFERROR(INDEX('Monthly_Cohort_&amp;_Matrix'!$C:$N,(ROW()-2)*2+3,COLUMN()+ROW()-4),"")/$B7,"")</f>
        <v>1</v>
      </c>
      <c r="D7" s="14" cm="1">
        <f ca="1" t="array" ref="D7">IFERROR(IFERROR(INDEX('Monthly_Cohort_&amp;_Matrix'!$C:$N,(ROW()-2)*2+3,COLUMN()+ROW()-4),"")/$B7,"")</f>
        <v>0.0797269822828928</v>
      </c>
      <c r="E7" s="14" cm="1">
        <f ca="1" t="array" ref="E7">IFERROR(IFERROR(INDEX('Monthly_Cohort_&amp;_Matrix'!$C:$N,(ROW()-2)*2+3,COLUMN()+ROW()-4),"")/$B7,"")</f>
        <v>0.0327476038338658</v>
      </c>
      <c r="F7" s="14" cm="1">
        <f ca="1" t="array" ref="F7">IFERROR(IFERROR(INDEX('Monthly_Cohort_&amp;_Matrix'!$C:$N,(ROW()-2)*2+3,COLUMN()+ROW()-4),"")/$B7,"")</f>
        <v>0.0243973279117049</v>
      </c>
      <c r="G7" s="14" cm="1">
        <f ca="1" t="array" ref="G7">IFERROR(IFERROR(INDEX('Monthly_Cohort_&amp;_Matrix'!$C:$N,(ROW()-2)*2+3,COLUMN()+ROW()-4),"")/$B7,"")</f>
        <v>0.0192419401684577</v>
      </c>
      <c r="H7" s="14" cm="1">
        <f ca="1" t="array" ref="H7">IFERROR(IFERROR(INDEX('Monthly_Cohort_&amp;_Matrix'!$C:$N,(ROW()-2)*2+3,COLUMN()+ROW()-4),"")/$B7,"")</f>
        <v>0.0153209410397909</v>
      </c>
      <c r="I7" s="14" cm="1">
        <f ca="1" t="array" ref="I7">IFERROR(IFERROR(INDEX('Monthly_Cohort_&amp;_Matrix'!$C:$N,(ROW()-2)*2+3,COLUMN()+ROW()-4),"")/$B7,"")</f>
        <v>0.0124891083357537</v>
      </c>
      <c r="J7" s="14" t="str" cm="1">
        <f ca="1" t="array" ref="J7">IFERROR(IFERROR(INDEX('Monthly_Cohort_&amp;_Matrix'!$C:$N,(ROW()-2)*2+3,COLUMN()+ROW()-4),"")/$B7,"")</f>
        <v/>
      </c>
      <c r="K7" s="14" t="str" cm="1">
        <f ca="1" t="array" ref="K7">IFERROR(IFERROR(INDEX('Monthly_Cohort_&amp;_Matrix'!$C:$N,(ROW()-2)*2+3,COLUMN()+ROW()-4),"")/$B7,"")</f>
        <v/>
      </c>
      <c r="L7" s="14" t="str" cm="1">
        <f ca="1" t="array" ref="L7">IFERROR(IFERROR(INDEX('Monthly_Cohort_&amp;_Matrix'!$C:$N,(ROW()-2)*2+3,COLUMN()+ROW()-4),"")/$B7,"")</f>
        <v/>
      </c>
      <c r="M7" s="14" t="str" cm="1">
        <f ca="1" t="array" ref="M7">IFERROR(IFERROR(INDEX('Monthly_Cohort_&amp;_Matrix'!$C:$N,(ROW()-2)*2+3,COLUMN()+ROW()-4),"")/$B7,"")</f>
        <v/>
      </c>
      <c r="N7" s="15" t="str" cm="1">
        <f ca="1" t="array" ref="N7">IFERROR(IFERROR(INDEX('Monthly_Cohort_&amp;_Matrix'!$C:$N,(ROW()-2)*2+3,COLUMN()+ROW()-4),"")/$B7,"")</f>
        <v/>
      </c>
    </row>
    <row r="8" spans="1:14">
      <c r="A8" s="6">
        <v>44835</v>
      </c>
      <c r="B8" s="7">
        <v>10553</v>
      </c>
      <c r="C8" s="14" cm="1">
        <f ca="1" t="array" ref="C8">IFERROR(IFERROR(INDEX('Monthly_Cohort_&amp;_Matrix'!$C:$N,(ROW()-2)*2+3,COLUMN()+ROW()-4),"")/$B8,"")</f>
        <v>1</v>
      </c>
      <c r="D8" s="14" cm="1">
        <f ca="1" t="array" ref="D8">IFERROR(IFERROR(INDEX('Monthly_Cohort_&amp;_Matrix'!$C:$N,(ROW()-2)*2+3,COLUMN()+ROW()-4),"")/$B8,"")</f>
        <v>0.0902113143182034</v>
      </c>
      <c r="E8" s="14" cm="1">
        <f ca="1" t="array" ref="E8">IFERROR(IFERROR(INDEX('Monthly_Cohort_&amp;_Matrix'!$C:$N,(ROW()-2)*2+3,COLUMN()+ROW()-4),"")/$B8,"")</f>
        <v>0.042547142992514</v>
      </c>
      <c r="F8" s="14" cm="1">
        <f ca="1" t="array" ref="F8">IFERROR(IFERROR(INDEX('Monthly_Cohort_&amp;_Matrix'!$C:$N,(ROW()-2)*2+3,COLUMN()+ROW()-4),"")/$B8,"")</f>
        <v>0.0221737894437601</v>
      </c>
      <c r="G8" s="14" cm="1">
        <f ca="1" t="array" ref="G8">IFERROR(IFERROR(INDEX('Monthly_Cohort_&amp;_Matrix'!$C:$N,(ROW()-2)*2+3,COLUMN()+ROW()-4),"")/$B8,"")</f>
        <v>0.0175305600303231</v>
      </c>
      <c r="H8" s="14" cm="1">
        <f ca="1" t="array" ref="H8">IFERROR(IFERROR(INDEX('Monthly_Cohort_&amp;_Matrix'!$C:$N,(ROW()-2)*2+3,COLUMN()+ROW()-4),"")/$B8,"")</f>
        <v>0.0139296882403108</v>
      </c>
      <c r="I8" s="14" t="str" cm="1">
        <f ca="1" t="array" ref="I8">IFERROR(IFERROR(INDEX('Monthly_Cohort_&amp;_Matrix'!$C:$N,(ROW()-2)*2+3,COLUMN()+ROW()-4),"")/$B8,"")</f>
        <v/>
      </c>
      <c r="J8" s="14" t="str" cm="1">
        <f ca="1" t="array" ref="J8">IFERROR(IFERROR(INDEX('Monthly_Cohort_&amp;_Matrix'!$C:$N,(ROW()-2)*2+3,COLUMN()+ROW()-4),"")/$B8,"")</f>
        <v/>
      </c>
      <c r="K8" s="14" t="str" cm="1">
        <f ca="1" t="array" ref="K8">IFERROR(IFERROR(INDEX('Monthly_Cohort_&amp;_Matrix'!$C:$N,(ROW()-2)*2+3,COLUMN()+ROW()-4),"")/$B8,"")</f>
        <v/>
      </c>
      <c r="L8" s="14" t="str" cm="1">
        <f ca="1" t="array" ref="L8">IFERROR(IFERROR(INDEX('Monthly_Cohort_&amp;_Matrix'!$C:$N,(ROW()-2)*2+3,COLUMN()+ROW()-4),"")/$B8,"")</f>
        <v/>
      </c>
      <c r="M8" s="14" t="str" cm="1">
        <f ca="1" t="array" ref="M8">IFERROR(IFERROR(INDEX('Monthly_Cohort_&amp;_Matrix'!$C:$N,(ROW()-2)*2+3,COLUMN()+ROW()-4),"")/$B8,"")</f>
        <v/>
      </c>
      <c r="N8" s="15" t="str" cm="1">
        <f ca="1" t="array" ref="N8">IFERROR(IFERROR(INDEX('Monthly_Cohort_&amp;_Matrix'!$C:$N,(ROW()-2)*2+3,COLUMN()+ROW()-4),"")/$B8,"")</f>
        <v/>
      </c>
    </row>
    <row r="9" spans="1:14">
      <c r="A9" s="6">
        <v>44866</v>
      </c>
      <c r="B9" s="7">
        <v>12935</v>
      </c>
      <c r="C9" s="14" cm="1">
        <f ca="1" t="array" ref="C9">IFERROR(IFERROR(INDEX('Monthly_Cohort_&amp;_Matrix'!$C:$N,(ROW()-2)*2+3,COLUMN()+ROW()-4),"")/$B9,"")</f>
        <v>1</v>
      </c>
      <c r="D9" s="14" cm="1">
        <f ca="1" t="array" ref="D9">IFERROR(IFERROR(INDEX('Monthly_Cohort_&amp;_Matrix'!$C:$N,(ROW()-2)*2+3,COLUMN()+ROW()-4),"")/$B9,"")</f>
        <v>0.0944723618090452</v>
      </c>
      <c r="E9" s="14" cm="1">
        <f ca="1" t="array" ref="E9">IFERROR(IFERROR(INDEX('Monthly_Cohort_&amp;_Matrix'!$C:$N,(ROW()-2)*2+3,COLUMN()+ROW()-4),"")/$B9,"")</f>
        <v>0.0320834943950522</v>
      </c>
      <c r="F9" s="14" cm="1">
        <f ca="1" t="array" ref="F9">IFERROR(IFERROR(INDEX('Monthly_Cohort_&amp;_Matrix'!$C:$N,(ROW()-2)*2+3,COLUMN()+ROW()-4),"")/$B9,"")</f>
        <v>0.021105527638191</v>
      </c>
      <c r="G9" s="14" cm="1">
        <f ca="1" t="array" ref="G9">IFERROR(IFERROR(INDEX('Monthly_Cohort_&amp;_Matrix'!$C:$N,(ROW()-2)*2+3,COLUMN()+ROW()-4),"")/$B9,"")</f>
        <v>0.01747197526092</v>
      </c>
      <c r="H9" s="14" t="str" cm="1">
        <f ca="1" t="array" ref="H9">IFERROR(IFERROR(INDEX('Monthly_Cohort_&amp;_Matrix'!$C:$N,(ROW()-2)*2+3,COLUMN()+ROW()-4),"")/$B9,"")</f>
        <v/>
      </c>
      <c r="I9" s="14" t="str" cm="1">
        <f ca="1" t="array" ref="I9">IFERROR(IFERROR(INDEX('Monthly_Cohort_&amp;_Matrix'!$C:$N,(ROW()-2)*2+3,COLUMN()+ROW()-4),"")/$B9,"")</f>
        <v/>
      </c>
      <c r="J9" s="14" t="str" cm="1">
        <f ca="1" t="array" ref="J9">IFERROR(IFERROR(INDEX('Monthly_Cohort_&amp;_Matrix'!$C:$N,(ROW()-2)*2+3,COLUMN()+ROW()-4),"")/$B9,"")</f>
        <v/>
      </c>
      <c r="K9" s="14" t="str" cm="1">
        <f ca="1" t="array" ref="K9">IFERROR(IFERROR(INDEX('Monthly_Cohort_&amp;_Matrix'!$C:$N,(ROW()-2)*2+3,COLUMN()+ROW()-4),"")/$B9,"")</f>
        <v/>
      </c>
      <c r="L9" s="14" t="str" cm="1">
        <f ca="1" t="array" ref="L9">IFERROR(IFERROR(INDEX('Monthly_Cohort_&amp;_Matrix'!$C:$N,(ROW()-2)*2+3,COLUMN()+ROW()-4),"")/$B9,"")</f>
        <v/>
      </c>
      <c r="M9" s="14" t="str" cm="1">
        <f ca="1" t="array" ref="M9">IFERROR(IFERROR(INDEX('Monthly_Cohort_&amp;_Matrix'!$C:$N,(ROW()-2)*2+3,COLUMN()+ROW()-4),"")/$B9,"")</f>
        <v/>
      </c>
      <c r="N9" s="15" t="str" cm="1">
        <f ca="1" t="array" ref="N9">IFERROR(IFERROR(INDEX('Monthly_Cohort_&amp;_Matrix'!$C:$N,(ROW()-2)*2+3,COLUMN()+ROW()-4),"")/$B9,"")</f>
        <v/>
      </c>
    </row>
    <row r="10" spans="1:14">
      <c r="A10" s="6">
        <v>44896</v>
      </c>
      <c r="B10" s="7">
        <v>10997</v>
      </c>
      <c r="C10" s="14" cm="1">
        <f ca="1" t="array" ref="C10">IFERROR(IFERROR(INDEX('Monthly_Cohort_&amp;_Matrix'!$C:$N,(ROW()-2)*2+3,COLUMN()+ROW()-4),"")/$B10,"")</f>
        <v>1</v>
      </c>
      <c r="D10" s="14" cm="1">
        <f ca="1" t="array" ref="D10">IFERROR(IFERROR(INDEX('Monthly_Cohort_&amp;_Matrix'!$C:$N,(ROW()-2)*2+3,COLUMN()+ROW()-4),"")/$B10,"")</f>
        <v>0.0782031463126307</v>
      </c>
      <c r="E10" s="14" cm="1">
        <f ca="1" t="array" ref="E10">IFERROR(IFERROR(INDEX('Monthly_Cohort_&amp;_Matrix'!$C:$N,(ROW()-2)*2+3,COLUMN()+ROW()-4),"")/$B10,"")</f>
        <v>0.033918341365827</v>
      </c>
      <c r="F10" s="14" cm="1">
        <f ca="1" t="array" ref="F10">IFERROR(IFERROR(INDEX('Monthly_Cohort_&amp;_Matrix'!$C:$N,(ROW()-2)*2+3,COLUMN()+ROW()-4),"")/$B10,"")</f>
        <v>0.0250977539328908</v>
      </c>
      <c r="G10" s="14" t="str" cm="1">
        <f ca="1" t="array" ref="G10">IFERROR(IFERROR(INDEX('Monthly_Cohort_&amp;_Matrix'!$C:$N,(ROW()-2)*2+3,COLUMN()+ROW()-4),"")/$B10,"")</f>
        <v/>
      </c>
      <c r="H10" s="14" t="str" cm="1">
        <f ca="1" t="array" ref="H10">IFERROR(IFERROR(INDEX('Monthly_Cohort_&amp;_Matrix'!$C:$N,(ROW()-2)*2+3,COLUMN()+ROW()-4),"")/$B10,"")</f>
        <v/>
      </c>
      <c r="I10" s="14" t="str" cm="1">
        <f ca="1" t="array" ref="I10">IFERROR(IFERROR(INDEX('Monthly_Cohort_&amp;_Matrix'!$C:$N,(ROW()-2)*2+3,COLUMN()+ROW()-4),"")/$B10,"")</f>
        <v/>
      </c>
      <c r="J10" s="14" t="str" cm="1">
        <f ca="1" t="array" ref="J10">IFERROR(IFERROR(INDEX('Monthly_Cohort_&amp;_Matrix'!$C:$N,(ROW()-2)*2+3,COLUMN()+ROW()-4),"")/$B10,"")</f>
        <v/>
      </c>
      <c r="K10" s="14" t="str" cm="1">
        <f ca="1" t="array" ref="K10">IFERROR(IFERROR(INDEX('Monthly_Cohort_&amp;_Matrix'!$C:$N,(ROW()-2)*2+3,COLUMN()+ROW()-4),"")/$B10,"")</f>
        <v/>
      </c>
      <c r="L10" s="14" t="str" cm="1">
        <f ca="1" t="array" ref="L10">IFERROR(IFERROR(INDEX('Monthly_Cohort_&amp;_Matrix'!$C:$N,(ROW()-2)*2+3,COLUMN()+ROW()-4),"")/$B10,"")</f>
        <v/>
      </c>
      <c r="M10" s="14" t="str" cm="1">
        <f ca="1" t="array" ref="M10">IFERROR(IFERROR(INDEX('Monthly_Cohort_&amp;_Matrix'!$C:$N,(ROW()-2)*2+3,COLUMN()+ROW()-4),"")/$B10,"")</f>
        <v/>
      </c>
      <c r="N10" s="15" t="str" cm="1">
        <f ca="1" t="array" ref="N10">IFERROR(IFERROR(INDEX('Monthly_Cohort_&amp;_Matrix'!$C:$N,(ROW()-2)*2+3,COLUMN()+ROW()-4),"")/$B10,"")</f>
        <v/>
      </c>
    </row>
    <row r="11" spans="1:14">
      <c r="A11" s="6">
        <v>44927</v>
      </c>
      <c r="B11" s="7">
        <v>11697</v>
      </c>
      <c r="C11" s="14" cm="1">
        <f ca="1" t="array" ref="C11">IFERROR(IFERROR(INDEX('Monthly_Cohort_&amp;_Matrix'!$C:$N,(ROW()-2)*2+3,COLUMN()+ROW()-4),"")/$B11,"")</f>
        <v>1</v>
      </c>
      <c r="D11" s="14" cm="1">
        <f ca="1" t="array" ref="D11">IFERROR(IFERROR(INDEX('Monthly_Cohort_&amp;_Matrix'!$C:$N,(ROW()-2)*2+3,COLUMN()+ROW()-4),"")/$B11,"")</f>
        <v>0.0851500384714029</v>
      </c>
      <c r="E11" s="14" cm="1">
        <f ca="1" t="array" ref="E11">IFERROR(IFERROR(INDEX('Monthly_Cohort_&amp;_Matrix'!$C:$N,(ROW()-2)*2+3,COLUMN()+ROW()-4),"")/$B11,"")</f>
        <v>0.0388133709498162</v>
      </c>
      <c r="F11" s="14" t="str" cm="1">
        <f ca="1" t="array" ref="F11">IFERROR(IFERROR(INDEX('Monthly_Cohort_&amp;_Matrix'!$C:$N,(ROW()-2)*2+3,COLUMN()+ROW()-4),"")/$B11,"")</f>
        <v/>
      </c>
      <c r="G11" s="14" t="str" cm="1">
        <f ca="1" t="array" ref="G11">IFERROR(IFERROR(INDEX('Monthly_Cohort_&amp;_Matrix'!$C:$N,(ROW()-2)*2+3,COLUMN()+ROW()-4),"")/$B11,"")</f>
        <v/>
      </c>
      <c r="H11" s="14" t="str" cm="1">
        <f ca="1" t="array" ref="H11">IFERROR(IFERROR(INDEX('Monthly_Cohort_&amp;_Matrix'!$C:$N,(ROW()-2)*2+3,COLUMN()+ROW()-4),"")/$B11,"")</f>
        <v/>
      </c>
      <c r="I11" s="14" t="str" cm="1">
        <f ca="1" t="array" ref="I11">IFERROR(IFERROR(INDEX('Monthly_Cohort_&amp;_Matrix'!$C:$N,(ROW()-2)*2+3,COLUMN()+ROW()-4),"")/$B11,"")</f>
        <v/>
      </c>
      <c r="J11" s="14" t="str" cm="1">
        <f ca="1" t="array" ref="J11">IFERROR(IFERROR(INDEX('Monthly_Cohort_&amp;_Matrix'!$C:$N,(ROW()-2)*2+3,COLUMN()+ROW()-4),"")/$B11,"")</f>
        <v/>
      </c>
      <c r="K11" s="14" t="str" cm="1">
        <f ca="1" t="array" ref="K11">IFERROR(IFERROR(INDEX('Monthly_Cohort_&amp;_Matrix'!$C:$N,(ROW()-2)*2+3,COLUMN()+ROW()-4),"")/$B11,"")</f>
        <v/>
      </c>
      <c r="L11" s="14" t="str" cm="1">
        <f ca="1" t="array" ref="L11">IFERROR(IFERROR(INDEX('Monthly_Cohort_&amp;_Matrix'!$C:$N,(ROW()-2)*2+3,COLUMN()+ROW()-4),"")/$B11,"")</f>
        <v/>
      </c>
      <c r="M11" s="14" t="str" cm="1">
        <f ca="1" t="array" ref="M11">IFERROR(IFERROR(INDEX('Monthly_Cohort_&amp;_Matrix'!$C:$N,(ROW()-2)*2+3,COLUMN()+ROW()-4),"")/$B11,"")</f>
        <v/>
      </c>
      <c r="N11" s="15" t="str" cm="1">
        <f ca="1" t="array" ref="N11">IFERROR(IFERROR(INDEX('Monthly_Cohort_&amp;_Matrix'!$C:$N,(ROW()-2)*2+3,COLUMN()+ROW()-4),"")/$B11,"")</f>
        <v/>
      </c>
    </row>
    <row r="12" spans="1:14">
      <c r="A12" s="6">
        <v>44958</v>
      </c>
      <c r="B12" s="7">
        <v>11724</v>
      </c>
      <c r="C12" s="14" cm="1">
        <f ca="1" t="array" ref="C12">IFERROR(IFERROR(INDEX('Monthly_Cohort_&amp;_Matrix'!$C:$N,(ROW()-2)*2+3,COLUMN()+ROW()-4),"")/$B12,"")</f>
        <v>1</v>
      </c>
      <c r="D12" s="14" cm="1">
        <f ca="1" t="array" ref="D12">IFERROR(IFERROR(INDEX('Monthly_Cohort_&amp;_Matrix'!$C:$N,(ROW()-2)*2+3,COLUMN()+ROW()-4),"")/$B12,"")</f>
        <v>0.0729273285568065</v>
      </c>
      <c r="E12" s="14" t="str" cm="1">
        <f ca="1" t="array" ref="E12">IFERROR(IFERROR(INDEX('Monthly_Cohort_&amp;_Matrix'!$C:$N,(ROW()-2)*2+3,COLUMN()+ROW()-4),"")/$B12,"")</f>
        <v/>
      </c>
      <c r="F12" s="14" t="str" cm="1">
        <f ca="1" t="array" ref="F12">IFERROR(IFERROR(INDEX('Monthly_Cohort_&amp;_Matrix'!$C:$N,(ROW()-2)*2+3,COLUMN()+ROW()-4),"")/$B12,"")</f>
        <v/>
      </c>
      <c r="G12" s="14" t="str" cm="1">
        <f ca="1" t="array" ref="G12">IFERROR(IFERROR(INDEX('Monthly_Cohort_&amp;_Matrix'!$C:$N,(ROW()-2)*2+3,COLUMN()+ROW()-4),"")/$B12,"")</f>
        <v/>
      </c>
      <c r="H12" s="14" t="str" cm="1">
        <f ca="1" t="array" ref="H12">IFERROR(IFERROR(INDEX('Monthly_Cohort_&amp;_Matrix'!$C:$N,(ROW()-2)*2+3,COLUMN()+ROW()-4),"")/$B12,"")</f>
        <v/>
      </c>
      <c r="I12" s="14" t="str" cm="1">
        <f ca="1" t="array" ref="I12">IFERROR(IFERROR(INDEX('Monthly_Cohort_&amp;_Matrix'!$C:$N,(ROW()-2)*2+3,COLUMN()+ROW()-4),"")/$B12,"")</f>
        <v/>
      </c>
      <c r="J12" s="14" t="str" cm="1">
        <f ca="1" t="array" ref="J12">IFERROR(IFERROR(INDEX('Monthly_Cohort_&amp;_Matrix'!$C:$N,(ROW()-2)*2+3,COLUMN()+ROW()-4),"")/$B12,"")</f>
        <v/>
      </c>
      <c r="K12" s="14" t="str" cm="1">
        <f ca="1" t="array" ref="K12">IFERROR(IFERROR(INDEX('Monthly_Cohort_&amp;_Matrix'!$C:$N,(ROW()-2)*2+3,COLUMN()+ROW()-4),"")/$B12,"")</f>
        <v/>
      </c>
      <c r="L12" s="14" t="str" cm="1">
        <f ca="1" t="array" ref="L12">IFERROR(IFERROR(INDEX('Monthly_Cohort_&amp;_Matrix'!$C:$N,(ROW()-2)*2+3,COLUMN()+ROW()-4),"")/$B12,"")</f>
        <v/>
      </c>
      <c r="M12" s="14" t="str" cm="1">
        <f ca="1" t="array" ref="M12">IFERROR(IFERROR(INDEX('Monthly_Cohort_&amp;_Matrix'!$C:$N,(ROW()-2)*2+3,COLUMN()+ROW()-4),"")/$B12,"")</f>
        <v/>
      </c>
      <c r="N12" s="15" t="str" cm="1">
        <f ca="1" t="array" ref="N12">IFERROR(IFERROR(INDEX('Monthly_Cohort_&amp;_Matrix'!$C:$N,(ROW()-2)*2+3,COLUMN()+ROW()-4),"")/$B12,"")</f>
        <v/>
      </c>
    </row>
    <row r="13" spans="1:14">
      <c r="A13" s="10">
        <v>44986</v>
      </c>
      <c r="B13" s="16">
        <v>14383</v>
      </c>
      <c r="C13" s="17" cm="1">
        <f ca="1" t="array" ref="C13">IFERROR(IFERROR(INDEX('Monthly_Cohort_&amp;_Matrix'!$C:$N,(ROW()-2)*2+3,COLUMN()+ROW()-4),"")/$B13,"")</f>
        <v>1</v>
      </c>
      <c r="D13" s="17" t="str" cm="1">
        <f ca="1" t="array" ref="D13">IFERROR(IFERROR(INDEX('Monthly_Cohort_&amp;_Matrix'!$C:$N,(ROW()-2)*2+3,COLUMN()+ROW()-4),"")/$B13,"")</f>
        <v/>
      </c>
      <c r="E13" s="17" t="str" cm="1">
        <f ca="1" t="array" ref="E13">IFERROR(IFERROR(INDEX('Monthly_Cohort_&amp;_Matrix'!$C:$N,(ROW()-2)*2+3,COLUMN()+ROW()-4),"")/$B13,"")</f>
        <v/>
      </c>
      <c r="F13" s="17" t="str" cm="1">
        <f ca="1" t="array" ref="F13">IFERROR(IFERROR(INDEX('Monthly_Cohort_&amp;_Matrix'!$C:$N,(ROW()-2)*2+3,COLUMN()+ROW()-4),"")/$B13,"")</f>
        <v/>
      </c>
      <c r="G13" s="17" t="str" cm="1">
        <f ca="1" t="array" ref="G13">IFERROR(IFERROR(INDEX('Monthly_Cohort_&amp;_Matrix'!$C:$N,(ROW()-2)*2+3,COLUMN()+ROW()-4),"")/$B13,"")</f>
        <v/>
      </c>
      <c r="H13" s="17" t="str" cm="1">
        <f ca="1" t="array" ref="H13">IFERROR(IFERROR(INDEX('Monthly_Cohort_&amp;_Matrix'!$C:$N,(ROW()-2)*2+3,COLUMN()+ROW()-4),"")/$B13,"")</f>
        <v/>
      </c>
      <c r="I13" s="17" t="str" cm="1">
        <f ca="1" t="array" ref="I13">IFERROR(IFERROR(INDEX('Monthly_Cohort_&amp;_Matrix'!$C:$N,(ROW()-2)*2+3,COLUMN()+ROW()-4),"")/$B13,"")</f>
        <v/>
      </c>
      <c r="J13" s="17" t="str" cm="1">
        <f ca="1" t="array" ref="J13">IFERROR(IFERROR(INDEX('Monthly_Cohort_&amp;_Matrix'!$C:$N,(ROW()-2)*2+3,COLUMN()+ROW()-4),"")/$B13,"")</f>
        <v/>
      </c>
      <c r="K13" s="17" t="str" cm="1">
        <f ca="1" t="array" ref="K13">IFERROR(IFERROR(INDEX('Monthly_Cohort_&amp;_Matrix'!$C:$N,(ROW()-2)*2+3,COLUMN()+ROW()-4),"")/$B13,"")</f>
        <v/>
      </c>
      <c r="L13" s="17" t="str" cm="1">
        <f ca="1" t="array" ref="L13">IFERROR(IFERROR(INDEX('Monthly_Cohort_&amp;_Matrix'!$C:$N,(ROW()-2)*2+3,COLUMN()+ROW()-4),"")/$B13,"")</f>
        <v/>
      </c>
      <c r="M13" s="17" t="str" cm="1">
        <f ca="1" t="array" ref="M13">IFERROR(IFERROR(INDEX('Monthly_Cohort_&amp;_Matrix'!$C:$N,(ROW()-2)*2+3,COLUMN()+ROW()-4),"")/$B13,"")</f>
        <v/>
      </c>
      <c r="N13" s="18" t="str" cm="1">
        <f ca="1" t="array" ref="N13">IFERROR(IFERROR(INDEX('Monthly_Cohort_&amp;_Matrix'!$C:$N,(ROW()-2)*2+3,COLUMN()+ROW()-4),"")/$B13,"")</f>
        <v/>
      </c>
    </row>
    <row r="16" spans="1:14">
      <c r="A16" s="3" t="s">
        <v>0</v>
      </c>
      <c r="B16" s="4" t="s">
        <v>25</v>
      </c>
      <c r="C16" s="5" t="s">
        <v>13</v>
      </c>
      <c r="D16" s="5" t="s">
        <v>14</v>
      </c>
      <c r="E16" s="5" t="s">
        <v>15</v>
      </c>
      <c r="F16" s="5" t="s">
        <v>16</v>
      </c>
      <c r="G16" s="5" t="s">
        <v>17</v>
      </c>
      <c r="H16" s="5" t="s">
        <v>18</v>
      </c>
      <c r="I16" s="5" t="s">
        <v>19</v>
      </c>
      <c r="J16" s="5" t="s">
        <v>20</v>
      </c>
      <c r="K16" s="5" t="s">
        <v>21</v>
      </c>
      <c r="L16" s="5" t="s">
        <v>22</v>
      </c>
      <c r="M16" s="5" t="s">
        <v>23</v>
      </c>
      <c r="N16" s="13" t="s">
        <v>24</v>
      </c>
    </row>
    <row r="17" spans="1:14">
      <c r="A17" s="6">
        <v>44652</v>
      </c>
      <c r="B17" s="7" cm="1">
        <f ca="1" t="array" ref="B17:B28">TRANSPOSE('Monthly_Cohort_&amp;_Matrix'!C34:N34)</f>
        <v>3470489.01252315</v>
      </c>
      <c r="C17" s="14" cm="1">
        <f ca="1" t="array" ref="C17">IFERROR(IFERROR(INDEX('Monthly_Cohort_&amp;_Matrix'!$C:$N,(ROW()-17)*2+2,COLUMN()+ROW()-19),"")/$B17,"")</f>
        <v>1</v>
      </c>
      <c r="D17" s="14" cm="1">
        <f ca="1" t="array" ref="D17">IFERROR(IFERROR(INDEX('Monthly_Cohort_&amp;_Matrix'!$C:$N,(ROW()-17)*2+2,COLUMN()+ROW()-19),"")/$B17,"")</f>
        <v>1.30582337448708</v>
      </c>
      <c r="E17" s="14" cm="1">
        <f ca="1" t="array" ref="E17">IFERROR(IFERROR(INDEX('Monthly_Cohort_&amp;_Matrix'!$C:$N,(ROW()-17)*2+2,COLUMN()+ROW()-19),"")/$B17,"")</f>
        <v>0.580905083833053</v>
      </c>
      <c r="F17" s="14" cm="1">
        <f ca="1" t="array" ref="F17">IFERROR(IFERROR(INDEX('Monthly_Cohort_&amp;_Matrix'!$C:$N,(ROW()-17)*2+2,COLUMN()+ROW()-19),"")/$B17,"")</f>
        <v>0.426442007331302</v>
      </c>
      <c r="G17" s="14" cm="1">
        <f ca="1" t="array" ref="G17">IFERROR(IFERROR(INDEX('Monthly_Cohort_&amp;_Matrix'!$C:$N,(ROW()-17)*2+2,COLUMN()+ROW()-19),"")/$B17,"")</f>
        <v>0.433558603871172</v>
      </c>
      <c r="H17" s="14" cm="1">
        <f ca="1" t="array" ref="H17">IFERROR(IFERROR(INDEX('Monthly_Cohort_&amp;_Matrix'!$C:$N,(ROW()-17)*2+2,COLUMN()+ROW()-19),"")/$B17,"")</f>
        <v>0.464270480251596</v>
      </c>
      <c r="I17" s="14" cm="1">
        <f ca="1" t="array" ref="I17">IFERROR(IFERROR(INDEX('Monthly_Cohort_&amp;_Matrix'!$C:$N,(ROW()-17)*2+2,COLUMN()+ROW()-19),"")/$B17,"")</f>
        <v>0.438594308935184</v>
      </c>
      <c r="J17" s="14" cm="1">
        <f ca="1" t="array" ref="J17">IFERROR(IFERROR(INDEX('Monthly_Cohort_&amp;_Matrix'!$C:$N,(ROW()-17)*2+2,COLUMN()+ROW()-19),"")/$B17,"")</f>
        <v>0.412403097926227</v>
      </c>
      <c r="K17" s="14" cm="1">
        <f ca="1" t="array" ref="K17">IFERROR(IFERROR(INDEX('Monthly_Cohort_&amp;_Matrix'!$C:$N,(ROW()-17)*2+2,COLUMN()+ROW()-19),"")/$B17,"")</f>
        <v>0.417032059285027</v>
      </c>
      <c r="L17" s="14" cm="1">
        <f ca="1" t="array" ref="L17">IFERROR(IFERROR(INDEX('Monthly_Cohort_&amp;_Matrix'!$C:$N,(ROW()-17)*2+2,COLUMN()+ROW()-19),"")/$B17,"")</f>
        <v>0.452198319871382</v>
      </c>
      <c r="M17" s="14" cm="1">
        <f ca="1" t="array" ref="M17">IFERROR(IFERROR(INDEX('Monthly_Cohort_&amp;_Matrix'!$C:$N,(ROW()-17)*2+2,COLUMN()+ROW()-19),"")/$B17,"")</f>
        <v>0.333618984737594</v>
      </c>
      <c r="N17" s="15" cm="1">
        <f ca="1" t="array" ref="N17">IFERROR(IFERROR(INDEX('Monthly_Cohort_&amp;_Matrix'!$C:$N,(ROW()-17)*2+2,COLUMN()+ROW()-19),"")/$B17,"")</f>
        <v>0.464832721276244</v>
      </c>
    </row>
    <row r="18" spans="1:14">
      <c r="A18" s="6">
        <v>44682</v>
      </c>
      <c r="B18" s="7">
        <v>5119928.17410458</v>
      </c>
      <c r="C18" s="14" cm="1">
        <f ca="1" t="array" ref="C18">IFERROR(IFERROR(INDEX('Monthly_Cohort_&amp;_Matrix'!$C:$N,(ROW()-17)*2+2,COLUMN()+ROW()-19),"")/$B18,"")</f>
        <v>1</v>
      </c>
      <c r="D18" s="14" cm="1">
        <f ca="1" t="array" ref="D18">IFERROR(IFERROR(INDEX('Monthly_Cohort_&amp;_Matrix'!$C:$N,(ROW()-17)*2+2,COLUMN()+ROW()-19),"")/$B18,"")</f>
        <v>0.63511231596347</v>
      </c>
      <c r="E18" s="14" cm="1">
        <f ca="1" t="array" ref="E18">IFERROR(IFERROR(INDEX('Monthly_Cohort_&amp;_Matrix'!$C:$N,(ROW()-17)*2+2,COLUMN()+ROW()-19),"")/$B18,"")</f>
        <v>0.41109260493651</v>
      </c>
      <c r="F18" s="14" cm="1">
        <f ca="1" t="array" ref="F18">IFERROR(IFERROR(INDEX('Monthly_Cohort_&amp;_Matrix'!$C:$N,(ROW()-17)*2+2,COLUMN()+ROW()-19),"")/$B18,"")</f>
        <v>0.358966346250085</v>
      </c>
      <c r="G18" s="14" cm="1">
        <f ca="1" t="array" ref="G18">IFERROR(IFERROR(INDEX('Monthly_Cohort_&amp;_Matrix'!$C:$N,(ROW()-17)*2+2,COLUMN()+ROW()-19),"")/$B18,"")</f>
        <v>0.222503383173781</v>
      </c>
      <c r="H18" s="14" cm="1">
        <f ca="1" t="array" ref="H18">IFERROR(IFERROR(INDEX('Monthly_Cohort_&amp;_Matrix'!$C:$N,(ROW()-17)*2+2,COLUMN()+ROW()-19),"")/$B18,"")</f>
        <v>0.125567415805471</v>
      </c>
      <c r="I18" s="14" cm="1">
        <f ca="1" t="array" ref="I18">IFERROR(IFERROR(INDEX('Monthly_Cohort_&amp;_Matrix'!$C:$N,(ROW()-17)*2+2,COLUMN()+ROW()-19),"")/$B18,"")</f>
        <v>0.146284626409655</v>
      </c>
      <c r="J18" s="14" cm="1">
        <f ca="1" t="array" ref="J18">IFERROR(IFERROR(INDEX('Monthly_Cohort_&amp;_Matrix'!$C:$N,(ROW()-17)*2+2,COLUMN()+ROW()-19),"")/$B18,"")</f>
        <v>0.21688415201294</v>
      </c>
      <c r="K18" s="14" cm="1">
        <f ca="1" t="array" ref="K18">IFERROR(IFERROR(INDEX('Monthly_Cohort_&amp;_Matrix'!$C:$N,(ROW()-17)*2+2,COLUMN()+ROW()-19),"")/$B18,"")</f>
        <v>0.201921307416885</v>
      </c>
      <c r="L18" s="14" cm="1">
        <f ca="1" t="array" ref="L18">IFERROR(IFERROR(INDEX('Monthly_Cohort_&amp;_Matrix'!$C:$N,(ROW()-17)*2+2,COLUMN()+ROW()-19),"")/$B18,"")</f>
        <v>0.184916758224319</v>
      </c>
      <c r="M18" s="14" cm="1">
        <f ca="1" t="array" ref="M18">IFERROR(IFERROR(INDEX('Monthly_Cohort_&amp;_Matrix'!$C:$N,(ROW()-17)*2+2,COLUMN()+ROW()-19),"")/$B18,"")</f>
        <v>0.16608607608216</v>
      </c>
      <c r="N18" s="15" t="str" cm="1">
        <f ca="1" t="array" ref="N18">IFERROR(IFERROR(INDEX('Monthly_Cohort_&amp;_Matrix'!$C:$N,(ROW()-17)*2+2,COLUMN()+ROW()-19),"")/$B18,"")</f>
        <v/>
      </c>
    </row>
    <row r="19" spans="1:14">
      <c r="A19" s="6">
        <v>44713</v>
      </c>
      <c r="B19" s="7">
        <v>3815355.2505326</v>
      </c>
      <c r="C19" s="14" cm="1">
        <f ca="1" t="array" ref="C19">IFERROR(IFERROR(INDEX('Monthly_Cohort_&amp;_Matrix'!$C:$N,(ROW()-17)*2+2,COLUMN()+ROW()-19),"")/$B19,"")</f>
        <v>1</v>
      </c>
      <c r="D19" s="14" cm="1">
        <f ca="1" t="array" ref="D19">IFERROR(IFERROR(INDEX('Monthly_Cohort_&amp;_Matrix'!$C:$N,(ROW()-17)*2+2,COLUMN()+ROW()-19),"")/$B19,"")</f>
        <v>0.675589579612884</v>
      </c>
      <c r="E19" s="14" cm="1">
        <f ca="1" t="array" ref="E19">IFERROR(IFERROR(INDEX('Monthly_Cohort_&amp;_Matrix'!$C:$N,(ROW()-17)*2+2,COLUMN()+ROW()-19),"")/$B19,"")</f>
        <v>0.375704293858822</v>
      </c>
      <c r="F19" s="14" cm="1">
        <f ca="1" t="array" ref="F19">IFERROR(IFERROR(INDEX('Monthly_Cohort_&amp;_Matrix'!$C:$N,(ROW()-17)*2+2,COLUMN()+ROW()-19),"")/$B19,"")</f>
        <v>0.364427726495064</v>
      </c>
      <c r="G19" s="14" cm="1">
        <f ca="1" t="array" ref="G19">IFERROR(IFERROR(INDEX('Monthly_Cohort_&amp;_Matrix'!$C:$N,(ROW()-17)*2+2,COLUMN()+ROW()-19),"")/$B19,"")</f>
        <v>0.353509191496257</v>
      </c>
      <c r="H19" s="14" cm="1">
        <f ca="1" t="array" ref="H19">IFERROR(IFERROR(INDEX('Monthly_Cohort_&amp;_Matrix'!$C:$N,(ROW()-17)*2+2,COLUMN()+ROW()-19),"")/$B19,"")</f>
        <v>0.220393715608092</v>
      </c>
      <c r="I19" s="14" cm="1">
        <f ca="1" t="array" ref="I19">IFERROR(IFERROR(INDEX('Monthly_Cohort_&amp;_Matrix'!$C:$N,(ROW()-17)*2+2,COLUMN()+ROW()-19),"")/$B19,"")</f>
        <v>0.196363497259491</v>
      </c>
      <c r="J19" s="14" cm="1">
        <f ca="1" t="array" ref="J19">IFERROR(IFERROR(INDEX('Monthly_Cohort_&amp;_Matrix'!$C:$N,(ROW()-17)*2+2,COLUMN()+ROW()-19),"")/$B19,"")</f>
        <v>0.173923149106848</v>
      </c>
      <c r="K19" s="14" cm="1">
        <f ca="1" t="array" ref="K19">IFERROR(IFERROR(INDEX('Monthly_Cohort_&amp;_Matrix'!$C:$N,(ROW()-17)*2+2,COLUMN()+ROW()-19),"")/$B19,"")</f>
        <v>0.248069172493048</v>
      </c>
      <c r="L19" s="14" cm="1">
        <f ca="1" t="array" ref="L19">IFERROR(IFERROR(INDEX('Monthly_Cohort_&amp;_Matrix'!$C:$N,(ROW()-17)*2+2,COLUMN()+ROW()-19),"")/$B19,"")</f>
        <v>0.311098404035399</v>
      </c>
      <c r="M19" s="14" t="str" cm="1">
        <f ca="1" t="array" ref="M19">IFERROR(IFERROR(INDEX('Monthly_Cohort_&amp;_Matrix'!$C:$N,(ROW()-17)*2+2,COLUMN()+ROW()-19),"")/$B19,"")</f>
        <v/>
      </c>
      <c r="N19" s="15" t="str" cm="1">
        <f ca="1" t="array" ref="N19">IFERROR(IFERROR(INDEX('Monthly_Cohort_&amp;_Matrix'!$C:$N,(ROW()-17)*2+2,COLUMN()+ROW()-19),"")/$B19,"")</f>
        <v/>
      </c>
    </row>
    <row r="20" spans="1:14">
      <c r="A20" s="6">
        <v>44743</v>
      </c>
      <c r="B20" s="7">
        <v>4547888.81180353</v>
      </c>
      <c r="C20" s="14" cm="1">
        <f ca="1" t="array" ref="C20">IFERROR(IFERROR(INDEX('Monthly_Cohort_&amp;_Matrix'!$C:$N,(ROW()-17)*2+2,COLUMN()+ROW()-19),"")/$B20,"")</f>
        <v>1</v>
      </c>
      <c r="D20" s="14" cm="1">
        <f ca="1" t="array" ref="D20">IFERROR(IFERROR(INDEX('Monthly_Cohort_&amp;_Matrix'!$C:$N,(ROW()-17)*2+2,COLUMN()+ROW()-19),"")/$B20,"")</f>
        <v>0.916168084503834</v>
      </c>
      <c r="E20" s="14" cm="1">
        <f ca="1" t="array" ref="E20">IFERROR(IFERROR(INDEX('Monthly_Cohort_&amp;_Matrix'!$C:$N,(ROW()-17)*2+2,COLUMN()+ROW()-19),"")/$B20,"")</f>
        <v>0.528278658440373</v>
      </c>
      <c r="F20" s="14" cm="1">
        <f ca="1" t="array" ref="F20">IFERROR(IFERROR(INDEX('Monthly_Cohort_&amp;_Matrix'!$C:$N,(ROW()-17)*2+2,COLUMN()+ROW()-19),"")/$B20,"")</f>
        <v>0.398407249090239</v>
      </c>
      <c r="G20" s="14" cm="1">
        <f ca="1" t="array" ref="G20">IFERROR(IFERROR(INDEX('Monthly_Cohort_&amp;_Matrix'!$C:$N,(ROW()-17)*2+2,COLUMN()+ROW()-19),"")/$B20,"")</f>
        <v>0.583463616297237</v>
      </c>
      <c r="H20" s="14" cm="1">
        <f ca="1" t="array" ref="H20">IFERROR(IFERROR(INDEX('Monthly_Cohort_&amp;_Matrix'!$C:$N,(ROW()-17)*2+2,COLUMN()+ROW()-19),"")/$B20,"")</f>
        <v>0.687183185617527</v>
      </c>
      <c r="I20" s="14" cm="1">
        <f ca="1" t="array" ref="I20">IFERROR(IFERROR(INDEX('Monthly_Cohort_&amp;_Matrix'!$C:$N,(ROW()-17)*2+2,COLUMN()+ROW()-19),"")/$B20,"")</f>
        <v>0.535642686525914</v>
      </c>
      <c r="J20" s="14" cm="1">
        <f ca="1" t="array" ref="J20">IFERROR(IFERROR(INDEX('Monthly_Cohort_&amp;_Matrix'!$C:$N,(ROW()-17)*2+2,COLUMN()+ROW()-19),"")/$B20,"")</f>
        <v>0.342828535674446</v>
      </c>
      <c r="K20" s="14" cm="1">
        <f ca="1" t="array" ref="K20">IFERROR(IFERROR(INDEX('Monthly_Cohort_&amp;_Matrix'!$C:$N,(ROW()-17)*2+2,COLUMN()+ROW()-19),"")/$B20,"")</f>
        <v>0.642514431084571</v>
      </c>
      <c r="L20" s="14" t="str" cm="1">
        <f ca="1" t="array" ref="L20">IFERROR(IFERROR(INDEX('Monthly_Cohort_&amp;_Matrix'!$C:$N,(ROW()-17)*2+2,COLUMN()+ROW()-19),"")/$B20,"")</f>
        <v/>
      </c>
      <c r="M20" s="14" t="str" cm="1">
        <f ca="1" t="array" ref="M20">IFERROR(IFERROR(INDEX('Monthly_Cohort_&amp;_Matrix'!$C:$N,(ROW()-17)*2+2,COLUMN()+ROW()-19),"")/$B20,"")</f>
        <v/>
      </c>
      <c r="N20" s="15" t="str" cm="1">
        <f ca="1" t="array" ref="N20">IFERROR(IFERROR(INDEX('Monthly_Cohort_&amp;_Matrix'!$C:$N,(ROW()-17)*2+2,COLUMN()+ROW()-19),"")/$B20,"")</f>
        <v/>
      </c>
    </row>
    <row r="21" spans="1:14">
      <c r="A21" s="6">
        <v>44774</v>
      </c>
      <c r="B21" s="7">
        <v>2906573.54102523</v>
      </c>
      <c r="C21" s="14" cm="1">
        <f ca="1" t="array" ref="C21">IFERROR(IFERROR(INDEX('Monthly_Cohort_&amp;_Matrix'!$C:$N,(ROW()-17)*2+2,COLUMN()+ROW()-19),"")/$B21,"")</f>
        <v>1</v>
      </c>
      <c r="D21" s="14" cm="1">
        <f ca="1" t="array" ref="D21">IFERROR(IFERROR(INDEX('Monthly_Cohort_&amp;_Matrix'!$C:$N,(ROW()-17)*2+2,COLUMN()+ROW()-19),"")/$B21,"")</f>
        <v>0.610353443722871</v>
      </c>
      <c r="E21" s="14" cm="1">
        <f ca="1" t="array" ref="E21">IFERROR(IFERROR(INDEX('Monthly_Cohort_&amp;_Matrix'!$C:$N,(ROW()-17)*2+2,COLUMN()+ROW()-19),"")/$B21,"")</f>
        <v>0.482720536953295</v>
      </c>
      <c r="F21" s="14" cm="1">
        <f ca="1" t="array" ref="F21">IFERROR(IFERROR(INDEX('Monthly_Cohort_&amp;_Matrix'!$C:$N,(ROW()-17)*2+2,COLUMN()+ROW()-19),"")/$B21,"")</f>
        <v>0.383149899809596</v>
      </c>
      <c r="G21" s="14" cm="1">
        <f ca="1" t="array" ref="G21">IFERROR(IFERROR(INDEX('Monthly_Cohort_&amp;_Matrix'!$C:$N,(ROW()-17)*2+2,COLUMN()+ROW()-19),"")/$B21,"")</f>
        <v>0.425792471260928</v>
      </c>
      <c r="H21" s="14" cm="1">
        <f ca="1" t="array" ref="H21">IFERROR(IFERROR(INDEX('Monthly_Cohort_&amp;_Matrix'!$C:$N,(ROW()-17)*2+2,COLUMN()+ROW()-19),"")/$B21,"")</f>
        <v>0.529261062434937</v>
      </c>
      <c r="I21" s="14" cm="1">
        <f ca="1" t="array" ref="I21">IFERROR(IFERROR(INDEX('Monthly_Cohort_&amp;_Matrix'!$C:$N,(ROW()-17)*2+2,COLUMN()+ROW()-19),"")/$B21,"")</f>
        <v>0.242766480924379</v>
      </c>
      <c r="J21" s="14" cm="1">
        <f ca="1" t="array" ref="J21">IFERROR(IFERROR(INDEX('Monthly_Cohort_&amp;_Matrix'!$C:$N,(ROW()-17)*2+2,COLUMN()+ROW()-19),"")/$B21,"")</f>
        <v>0.318639011605623</v>
      </c>
      <c r="K21" s="14" t="str" cm="1">
        <f ca="1" t="array" ref="K21">IFERROR(IFERROR(INDEX('Monthly_Cohort_&amp;_Matrix'!$C:$N,(ROW()-17)*2+2,COLUMN()+ROW()-19),"")/$B21,"")</f>
        <v/>
      </c>
      <c r="L21" s="14" t="str" cm="1">
        <f ca="1" t="array" ref="L21">IFERROR(IFERROR(INDEX('Monthly_Cohort_&amp;_Matrix'!$C:$N,(ROW()-17)*2+2,COLUMN()+ROW()-19),"")/$B21,"")</f>
        <v/>
      </c>
      <c r="M21" s="14" t="str" cm="1">
        <f ca="1" t="array" ref="M21">IFERROR(IFERROR(INDEX('Monthly_Cohort_&amp;_Matrix'!$C:$N,(ROW()-17)*2+2,COLUMN()+ROW()-19),"")/$B21,"")</f>
        <v/>
      </c>
      <c r="N21" s="15" t="str" cm="1">
        <f ca="1" t="array" ref="N21">IFERROR(IFERROR(INDEX('Monthly_Cohort_&amp;_Matrix'!$C:$N,(ROW()-17)*2+2,COLUMN()+ROW()-19),"")/$B21,"")</f>
        <v/>
      </c>
    </row>
    <row r="22" spans="1:14">
      <c r="A22" s="6">
        <v>44805</v>
      </c>
      <c r="B22" s="7">
        <v>2178295.91129921</v>
      </c>
      <c r="C22" s="14" cm="1">
        <f ca="1" t="array" ref="C22">IFERROR(IFERROR(INDEX('Monthly_Cohort_&amp;_Matrix'!$C:$N,(ROW()-17)*2+2,COLUMN()+ROW()-19),"")/$B22,"")</f>
        <v>1</v>
      </c>
      <c r="D22" s="14" cm="1">
        <f ca="1" t="array" ref="D22">IFERROR(IFERROR(INDEX('Monthly_Cohort_&amp;_Matrix'!$C:$N,(ROW()-17)*2+2,COLUMN()+ROW()-19),"")/$B22,"")</f>
        <v>0.605726973698768</v>
      </c>
      <c r="E22" s="14" cm="1">
        <f ca="1" t="array" ref="E22">IFERROR(IFERROR(INDEX('Monthly_Cohort_&amp;_Matrix'!$C:$N,(ROW()-17)*2+2,COLUMN()+ROW()-19),"")/$B22,"")</f>
        <v>0.43034583373154</v>
      </c>
      <c r="F22" s="14" cm="1">
        <f ca="1" t="array" ref="F22">IFERROR(IFERROR(INDEX('Monthly_Cohort_&amp;_Matrix'!$C:$N,(ROW()-17)*2+2,COLUMN()+ROW()-19),"")/$B22,"")</f>
        <v>0.358067352636066</v>
      </c>
      <c r="G22" s="14" cm="1">
        <f ca="1" t="array" ref="G22">IFERROR(IFERROR(INDEX('Monthly_Cohort_&amp;_Matrix'!$C:$N,(ROW()-17)*2+2,COLUMN()+ROW()-19),"")/$B22,"")</f>
        <v>0.492998216915553</v>
      </c>
      <c r="H22" s="14" cm="1">
        <f ca="1" t="array" ref="H22">IFERROR(IFERROR(INDEX('Monthly_Cohort_&amp;_Matrix'!$C:$N,(ROW()-17)*2+2,COLUMN()+ROW()-19),"")/$B22,"")</f>
        <v>0.238301475672989</v>
      </c>
      <c r="I22" s="14" cm="1">
        <f ca="1" t="array" ref="I22">IFERROR(IFERROR(INDEX('Monthly_Cohort_&amp;_Matrix'!$C:$N,(ROW()-17)*2+2,COLUMN()+ROW()-19),"")/$B22,"")</f>
        <v>0.191042290397951</v>
      </c>
      <c r="J22" s="14" t="str" cm="1">
        <f ca="1" t="array" ref="J22">IFERROR(IFERROR(INDEX('Monthly_Cohort_&amp;_Matrix'!$C:$N,(ROW()-17)*2+2,COLUMN()+ROW()-19),"")/$B22,"")</f>
        <v/>
      </c>
      <c r="K22" s="14" t="str" cm="1">
        <f ca="1" t="array" ref="K22">IFERROR(IFERROR(INDEX('Monthly_Cohort_&amp;_Matrix'!$C:$N,(ROW()-17)*2+2,COLUMN()+ROW()-19),"")/$B22,"")</f>
        <v/>
      </c>
      <c r="L22" s="14" t="str" cm="1">
        <f ca="1" t="array" ref="L22">IFERROR(IFERROR(INDEX('Monthly_Cohort_&amp;_Matrix'!$C:$N,(ROW()-17)*2+2,COLUMN()+ROW()-19),"")/$B22,"")</f>
        <v/>
      </c>
      <c r="M22" s="14" t="str" cm="1">
        <f ca="1" t="array" ref="M22">IFERROR(IFERROR(INDEX('Monthly_Cohort_&amp;_Matrix'!$C:$N,(ROW()-17)*2+2,COLUMN()+ROW()-19),"")/$B22,"")</f>
        <v/>
      </c>
      <c r="N22" s="15" t="str" cm="1">
        <f ca="1" t="array" ref="N22">IFERROR(IFERROR(INDEX('Monthly_Cohort_&amp;_Matrix'!$C:$N,(ROW()-17)*2+2,COLUMN()+ROW()-19),"")/$B22,"")</f>
        <v/>
      </c>
    </row>
    <row r="23" spans="1:14">
      <c r="A23" s="6">
        <v>44835</v>
      </c>
      <c r="B23" s="7">
        <v>2894310.36115145</v>
      </c>
      <c r="C23" s="14" cm="1">
        <f ca="1" t="array" ref="C23">IFERROR(IFERROR(INDEX('Monthly_Cohort_&amp;_Matrix'!$C:$N,(ROW()-17)*2+2,COLUMN()+ROW()-19),"")/$B23,"")</f>
        <v>1</v>
      </c>
      <c r="D23" s="14" cm="1">
        <f ca="1" t="array" ref="D23">IFERROR(IFERROR(INDEX('Monthly_Cohort_&amp;_Matrix'!$C:$N,(ROW()-17)*2+2,COLUMN()+ROW()-19),"")/$B23,"")</f>
        <v>0.837037959506102</v>
      </c>
      <c r="E23" s="14" cm="1">
        <f ca="1" t="array" ref="E23">IFERROR(IFERROR(INDEX('Monthly_Cohort_&amp;_Matrix'!$C:$N,(ROW()-17)*2+2,COLUMN()+ROW()-19),"")/$B23,"")</f>
        <v>0.381371191265736</v>
      </c>
      <c r="F23" s="14" cm="1">
        <f ca="1" t="array" ref="F23">IFERROR(IFERROR(INDEX('Monthly_Cohort_&amp;_Matrix'!$C:$N,(ROW()-17)*2+2,COLUMN()+ROW()-19),"")/$B23,"")</f>
        <v>0.285046974021202</v>
      </c>
      <c r="G23" s="14" cm="1">
        <f ca="1" t="array" ref="G23">IFERROR(IFERROR(INDEX('Monthly_Cohort_&amp;_Matrix'!$C:$N,(ROW()-17)*2+2,COLUMN()+ROW()-19),"")/$B23,"")</f>
        <v>0.251880399517697</v>
      </c>
      <c r="H23" s="14" cm="1">
        <f ca="1" t="array" ref="H23">IFERROR(IFERROR(INDEX('Monthly_Cohort_&amp;_Matrix'!$C:$N,(ROW()-17)*2+2,COLUMN()+ROW()-19),"")/$B23,"")</f>
        <v>0.362612926638569</v>
      </c>
      <c r="I23" s="14" t="str" cm="1">
        <f ca="1" t="array" ref="I23">IFERROR(IFERROR(INDEX('Monthly_Cohort_&amp;_Matrix'!$C:$N,(ROW()-17)*2+2,COLUMN()+ROW()-19),"")/$B23,"")</f>
        <v/>
      </c>
      <c r="J23" s="14" t="str" cm="1">
        <f ca="1" t="array" ref="J23">IFERROR(IFERROR(INDEX('Monthly_Cohort_&amp;_Matrix'!$C:$N,(ROW()-17)*2+2,COLUMN()+ROW()-19),"")/$B23,"")</f>
        <v/>
      </c>
      <c r="K23" s="14" t="str" cm="1">
        <f ca="1" t="array" ref="K23">IFERROR(IFERROR(INDEX('Monthly_Cohort_&amp;_Matrix'!$C:$N,(ROW()-17)*2+2,COLUMN()+ROW()-19),"")/$B23,"")</f>
        <v/>
      </c>
      <c r="L23" s="14" t="str" cm="1">
        <f ca="1" t="array" ref="L23">IFERROR(IFERROR(INDEX('Monthly_Cohort_&amp;_Matrix'!$C:$N,(ROW()-17)*2+2,COLUMN()+ROW()-19),"")/$B23,"")</f>
        <v/>
      </c>
      <c r="M23" s="14" t="str" cm="1">
        <f ca="1" t="array" ref="M23">IFERROR(IFERROR(INDEX('Monthly_Cohort_&amp;_Matrix'!$C:$N,(ROW()-17)*2+2,COLUMN()+ROW()-19),"")/$B23,"")</f>
        <v/>
      </c>
      <c r="N23" s="15" t="str" cm="1">
        <f ca="1" t="array" ref="N23">IFERROR(IFERROR(INDEX('Monthly_Cohort_&amp;_Matrix'!$C:$N,(ROW()-17)*2+2,COLUMN()+ROW()-19),"")/$B23,"")</f>
        <v/>
      </c>
    </row>
    <row r="24" spans="1:14">
      <c r="A24" s="6">
        <v>44866</v>
      </c>
      <c r="B24" s="7">
        <v>3252521.61156486</v>
      </c>
      <c r="C24" s="14" cm="1">
        <f ca="1" t="array" ref="C24">IFERROR(IFERROR(INDEX('Monthly_Cohort_&amp;_Matrix'!$C:$N,(ROW()-17)*2+2,COLUMN()+ROW()-19),"")/$B24,"")</f>
        <v>1</v>
      </c>
      <c r="D24" s="14" cm="1">
        <f ca="1" t="array" ref="D24">IFERROR(IFERROR(INDEX('Monthly_Cohort_&amp;_Matrix'!$C:$N,(ROW()-17)*2+2,COLUMN()+ROW()-19),"")/$B24,"")</f>
        <v>0.907668272057352</v>
      </c>
      <c r="E24" s="14" cm="1">
        <f ca="1" t="array" ref="E24">IFERROR(IFERROR(INDEX('Monthly_Cohort_&amp;_Matrix'!$C:$N,(ROW()-17)*2+2,COLUMN()+ROW()-19),"")/$B24,"")</f>
        <v>0.486395464563121</v>
      </c>
      <c r="F24" s="14" cm="1">
        <f ca="1" t="array" ref="F24">IFERROR(IFERROR(INDEX('Monthly_Cohort_&amp;_Matrix'!$C:$N,(ROW()-17)*2+2,COLUMN()+ROW()-19),"")/$B24,"")</f>
        <v>0.398843886379714</v>
      </c>
      <c r="G24" s="14" cm="1">
        <f ca="1" t="array" ref="G24">IFERROR(IFERROR(INDEX('Monthly_Cohort_&amp;_Matrix'!$C:$N,(ROW()-17)*2+2,COLUMN()+ROW()-19),"")/$B24,"")</f>
        <v>0.565368252825474</v>
      </c>
      <c r="H24" s="14" t="str" cm="1">
        <f ca="1" t="array" ref="H24">IFERROR(IFERROR(INDEX('Monthly_Cohort_&amp;_Matrix'!$C:$N,(ROW()-17)*2+2,COLUMN()+ROW()-19),"")/$B24,"")</f>
        <v/>
      </c>
      <c r="I24" s="14" t="str" cm="1">
        <f ca="1" t="array" ref="I24">IFERROR(IFERROR(INDEX('Monthly_Cohort_&amp;_Matrix'!$C:$N,(ROW()-17)*2+2,COLUMN()+ROW()-19),"")/$B24,"")</f>
        <v/>
      </c>
      <c r="J24" s="14" t="str" cm="1">
        <f ca="1" t="array" ref="J24">IFERROR(IFERROR(INDEX('Monthly_Cohort_&amp;_Matrix'!$C:$N,(ROW()-17)*2+2,COLUMN()+ROW()-19),"")/$B24,"")</f>
        <v/>
      </c>
      <c r="K24" s="14" t="str" cm="1">
        <f ca="1" t="array" ref="K24">IFERROR(IFERROR(INDEX('Monthly_Cohort_&amp;_Matrix'!$C:$N,(ROW()-17)*2+2,COLUMN()+ROW()-19),"")/$B24,"")</f>
        <v/>
      </c>
      <c r="L24" s="14" t="str" cm="1">
        <f ca="1" t="array" ref="L24">IFERROR(IFERROR(INDEX('Monthly_Cohort_&amp;_Matrix'!$C:$N,(ROW()-17)*2+2,COLUMN()+ROW()-19),"")/$B24,"")</f>
        <v/>
      </c>
      <c r="M24" s="14" t="str" cm="1">
        <f ca="1" t="array" ref="M24">IFERROR(IFERROR(INDEX('Monthly_Cohort_&amp;_Matrix'!$C:$N,(ROW()-17)*2+2,COLUMN()+ROW()-19),"")/$B24,"")</f>
        <v/>
      </c>
      <c r="N24" s="15" t="str" cm="1">
        <f ca="1" t="array" ref="N24">IFERROR(IFERROR(INDEX('Monthly_Cohort_&amp;_Matrix'!$C:$N,(ROW()-17)*2+2,COLUMN()+ROW()-19),"")/$B24,"")</f>
        <v/>
      </c>
    </row>
    <row r="25" spans="1:14">
      <c r="A25" s="6">
        <v>44896</v>
      </c>
      <c r="B25" s="7">
        <v>2753173.18996686</v>
      </c>
      <c r="C25" s="14" cm="1">
        <f ca="1" t="array" ref="C25">IFERROR(IFERROR(INDEX('Monthly_Cohort_&amp;_Matrix'!$C:$N,(ROW()-17)*2+2,COLUMN()+ROW()-19),"")/$B25,"")</f>
        <v>1</v>
      </c>
      <c r="D25" s="14" cm="1">
        <f ca="1" t="array" ref="D25">IFERROR(IFERROR(INDEX('Monthly_Cohort_&amp;_Matrix'!$C:$N,(ROW()-17)*2+2,COLUMN()+ROW()-19),"")/$B25,"")</f>
        <v>1.6453965612511</v>
      </c>
      <c r="E25" s="14" cm="1">
        <f ca="1" t="array" ref="E25">IFERROR(IFERROR(INDEX('Monthly_Cohort_&amp;_Matrix'!$C:$N,(ROW()-17)*2+2,COLUMN()+ROW()-19),"")/$B25,"")</f>
        <v>1.40082385824119</v>
      </c>
      <c r="F25" s="14" cm="1">
        <f ca="1" t="array" ref="F25">IFERROR(IFERROR(INDEX('Monthly_Cohort_&amp;_Matrix'!$C:$N,(ROW()-17)*2+2,COLUMN()+ROW()-19),"")/$B25,"")</f>
        <v>1.36065154003761</v>
      </c>
      <c r="G25" s="14" t="str" cm="1">
        <f ca="1" t="array" ref="G25">IFERROR(IFERROR(INDEX('Monthly_Cohort_&amp;_Matrix'!$C:$N,(ROW()-17)*2+2,COLUMN()+ROW()-19),"")/$B25,"")</f>
        <v/>
      </c>
      <c r="H25" s="14" t="str" cm="1">
        <f ca="1" t="array" ref="H25">IFERROR(IFERROR(INDEX('Monthly_Cohort_&amp;_Matrix'!$C:$N,(ROW()-17)*2+2,COLUMN()+ROW()-19),"")/$B25,"")</f>
        <v/>
      </c>
      <c r="I25" s="14" t="str" cm="1">
        <f ca="1" t="array" ref="I25">IFERROR(IFERROR(INDEX('Monthly_Cohort_&amp;_Matrix'!$C:$N,(ROW()-17)*2+2,COLUMN()+ROW()-19),"")/$B25,"")</f>
        <v/>
      </c>
      <c r="J25" s="14" t="str" cm="1">
        <f ca="1" t="array" ref="J25">IFERROR(IFERROR(INDEX('Monthly_Cohort_&amp;_Matrix'!$C:$N,(ROW()-17)*2+2,COLUMN()+ROW()-19),"")/$B25,"")</f>
        <v/>
      </c>
      <c r="K25" s="14" t="str" cm="1">
        <f ca="1" t="array" ref="K25">IFERROR(IFERROR(INDEX('Monthly_Cohort_&amp;_Matrix'!$C:$N,(ROW()-17)*2+2,COLUMN()+ROW()-19),"")/$B25,"")</f>
        <v/>
      </c>
      <c r="L25" s="14" t="str" cm="1">
        <f ca="1" t="array" ref="L25">IFERROR(IFERROR(INDEX('Monthly_Cohort_&amp;_Matrix'!$C:$N,(ROW()-17)*2+2,COLUMN()+ROW()-19),"")/$B25,"")</f>
        <v/>
      </c>
      <c r="M25" s="14" t="str" cm="1">
        <f ca="1" t="array" ref="M25">IFERROR(IFERROR(INDEX('Monthly_Cohort_&amp;_Matrix'!$C:$N,(ROW()-17)*2+2,COLUMN()+ROW()-19),"")/$B25,"")</f>
        <v/>
      </c>
      <c r="N25" s="15" t="str" cm="1">
        <f ca="1" t="array" ref="N25">IFERROR(IFERROR(INDEX('Monthly_Cohort_&amp;_Matrix'!$C:$N,(ROW()-17)*2+2,COLUMN()+ROW()-19),"")/$B25,"")</f>
        <v/>
      </c>
    </row>
    <row r="26" spans="1:14">
      <c r="A26" s="6">
        <v>44927</v>
      </c>
      <c r="B26" s="7">
        <v>3024628.88019842</v>
      </c>
      <c r="C26" s="14" cm="1">
        <f ca="1" t="array" ref="C26">IFERROR(IFERROR(INDEX('Monthly_Cohort_&amp;_Matrix'!$C:$N,(ROW()-17)*2+2,COLUMN()+ROW()-19),"")/$B26,"")</f>
        <v>1</v>
      </c>
      <c r="D26" s="14" cm="1">
        <f ca="1" t="array" ref="D26">IFERROR(IFERROR(INDEX('Monthly_Cohort_&amp;_Matrix'!$C:$N,(ROW()-17)*2+2,COLUMN()+ROW()-19),"")/$B26,"")</f>
        <v>1.14249702243598</v>
      </c>
      <c r="E26" s="14" cm="1">
        <f ca="1" t="array" ref="E26">IFERROR(IFERROR(INDEX('Monthly_Cohort_&amp;_Matrix'!$C:$N,(ROW()-17)*2+2,COLUMN()+ROW()-19),"")/$B26,"")</f>
        <v>0.794601246711357</v>
      </c>
      <c r="F26" s="14" t="str" cm="1">
        <f ca="1" t="array" ref="F26">IFERROR(IFERROR(INDEX('Monthly_Cohort_&amp;_Matrix'!$C:$N,(ROW()-17)*2+2,COLUMN()+ROW()-19),"")/$B26,"")</f>
        <v/>
      </c>
      <c r="G26" s="14" t="str" cm="1">
        <f ca="1" t="array" ref="G26">IFERROR(IFERROR(INDEX('Monthly_Cohort_&amp;_Matrix'!$C:$N,(ROW()-17)*2+2,COLUMN()+ROW()-19),"")/$B26,"")</f>
        <v/>
      </c>
      <c r="H26" s="14" t="str" cm="1">
        <f ca="1" t="array" ref="H26">IFERROR(IFERROR(INDEX('Monthly_Cohort_&amp;_Matrix'!$C:$N,(ROW()-17)*2+2,COLUMN()+ROW()-19),"")/$B26,"")</f>
        <v/>
      </c>
      <c r="I26" s="14" t="str" cm="1">
        <f ca="1" t="array" ref="I26">IFERROR(IFERROR(INDEX('Monthly_Cohort_&amp;_Matrix'!$C:$N,(ROW()-17)*2+2,COLUMN()+ROW()-19),"")/$B26,"")</f>
        <v/>
      </c>
      <c r="J26" s="14" t="str" cm="1">
        <f ca="1" t="array" ref="J26">IFERROR(IFERROR(INDEX('Monthly_Cohort_&amp;_Matrix'!$C:$N,(ROW()-17)*2+2,COLUMN()+ROW()-19),"")/$B26,"")</f>
        <v/>
      </c>
      <c r="K26" s="14" t="str" cm="1">
        <f ca="1" t="array" ref="K26">IFERROR(IFERROR(INDEX('Monthly_Cohort_&amp;_Matrix'!$C:$N,(ROW()-17)*2+2,COLUMN()+ROW()-19),"")/$B26,"")</f>
        <v/>
      </c>
      <c r="L26" s="14" t="str" cm="1">
        <f ca="1" t="array" ref="L26">IFERROR(IFERROR(INDEX('Monthly_Cohort_&amp;_Matrix'!$C:$N,(ROW()-17)*2+2,COLUMN()+ROW()-19),"")/$B26,"")</f>
        <v/>
      </c>
      <c r="M26" s="14" t="str" cm="1">
        <f ca="1" t="array" ref="M26">IFERROR(IFERROR(INDEX('Monthly_Cohort_&amp;_Matrix'!$C:$N,(ROW()-17)*2+2,COLUMN()+ROW()-19),"")/$B26,"")</f>
        <v/>
      </c>
      <c r="N26" s="15" t="str" cm="1">
        <f ca="1" t="array" ref="N26">IFERROR(IFERROR(INDEX('Monthly_Cohort_&amp;_Matrix'!$C:$N,(ROW()-17)*2+2,COLUMN()+ROW()-19),"")/$B26,"")</f>
        <v/>
      </c>
    </row>
    <row r="27" spans="1:14">
      <c r="A27" s="6">
        <v>44958</v>
      </c>
      <c r="B27" s="7">
        <v>3526821.3583757</v>
      </c>
      <c r="C27" s="14" cm="1">
        <f ca="1" t="array" ref="C27">IFERROR(IFERROR(INDEX('Monthly_Cohort_&amp;_Matrix'!$C:$N,(ROW()-17)*2+2,COLUMN()+ROW()-19),"")/$B27,"")</f>
        <v>1</v>
      </c>
      <c r="D27" s="14" cm="1">
        <f ca="1" t="array" ref="D27">IFERROR(IFERROR(INDEX('Monthly_Cohort_&amp;_Matrix'!$C:$N,(ROW()-17)*2+2,COLUMN()+ROW()-19),"")/$B27,"")</f>
        <v>1.51907356590808</v>
      </c>
      <c r="E27" s="14" t="str" cm="1">
        <f ca="1" t="array" ref="E27">IFERROR(IFERROR(INDEX('Monthly_Cohort_&amp;_Matrix'!$C:$N,(ROW()-17)*2+2,COLUMN()+ROW()-19),"")/$B27,"")</f>
        <v/>
      </c>
      <c r="F27" s="14" t="str" cm="1">
        <f ca="1" t="array" ref="F27">IFERROR(IFERROR(INDEX('Monthly_Cohort_&amp;_Matrix'!$C:$N,(ROW()-17)*2+2,COLUMN()+ROW()-19),"")/$B27,"")</f>
        <v/>
      </c>
      <c r="G27" s="14" t="str" cm="1">
        <f ca="1" t="array" ref="G27">IFERROR(IFERROR(INDEX('Monthly_Cohort_&amp;_Matrix'!$C:$N,(ROW()-17)*2+2,COLUMN()+ROW()-19),"")/$B27,"")</f>
        <v/>
      </c>
      <c r="H27" s="14" t="str" cm="1">
        <f ca="1" t="array" ref="H27">IFERROR(IFERROR(INDEX('Monthly_Cohort_&amp;_Matrix'!$C:$N,(ROW()-17)*2+2,COLUMN()+ROW()-19),"")/$B27,"")</f>
        <v/>
      </c>
      <c r="I27" s="14" t="str" cm="1">
        <f ca="1" t="array" ref="I27">IFERROR(IFERROR(INDEX('Monthly_Cohort_&amp;_Matrix'!$C:$N,(ROW()-17)*2+2,COLUMN()+ROW()-19),"")/$B27,"")</f>
        <v/>
      </c>
      <c r="J27" s="14" t="str" cm="1">
        <f ca="1" t="array" ref="J27">IFERROR(IFERROR(INDEX('Monthly_Cohort_&amp;_Matrix'!$C:$N,(ROW()-17)*2+2,COLUMN()+ROW()-19),"")/$B27,"")</f>
        <v/>
      </c>
      <c r="K27" s="14" t="str" cm="1">
        <f ca="1" t="array" ref="K27">IFERROR(IFERROR(INDEX('Monthly_Cohort_&amp;_Matrix'!$C:$N,(ROW()-17)*2+2,COLUMN()+ROW()-19),"")/$B27,"")</f>
        <v/>
      </c>
      <c r="L27" s="14" t="str" cm="1">
        <f ca="1" t="array" ref="L27">IFERROR(IFERROR(INDEX('Monthly_Cohort_&amp;_Matrix'!$C:$N,(ROW()-17)*2+2,COLUMN()+ROW()-19),"")/$B27,"")</f>
        <v/>
      </c>
      <c r="M27" s="14" t="str" cm="1">
        <f ca="1" t="array" ref="M27">IFERROR(IFERROR(INDEX('Monthly_Cohort_&amp;_Matrix'!$C:$N,(ROW()-17)*2+2,COLUMN()+ROW()-19),"")/$B27,"")</f>
        <v/>
      </c>
      <c r="N27" s="15" t="str" cm="1">
        <f ca="1" t="array" ref="N27">IFERROR(IFERROR(INDEX('Monthly_Cohort_&amp;_Matrix'!$C:$N,(ROW()-17)*2+2,COLUMN()+ROW()-19),"")/$B27,"")</f>
        <v/>
      </c>
    </row>
    <row r="28" spans="1:14">
      <c r="A28" s="10">
        <v>44986</v>
      </c>
      <c r="B28" s="16">
        <v>2727451.83093454</v>
      </c>
      <c r="C28" s="17" cm="1">
        <f ca="1" t="array" ref="C28">IFERROR(IFERROR(INDEX('Monthly_Cohort_&amp;_Matrix'!$C:$N,(ROW()-17)*2+2,COLUMN()+ROW()-19),"")/$B28,"")</f>
        <v>1</v>
      </c>
      <c r="D28" s="17" t="str" cm="1">
        <f ca="1" t="array" ref="D28">IFERROR(IFERROR(INDEX('Monthly_Cohort_&amp;_Matrix'!$C:$N,(ROW()-17)*2+2,COLUMN()+ROW()-19),"")/$B28,"")</f>
        <v/>
      </c>
      <c r="E28" s="17" t="str" cm="1">
        <f ca="1" t="array" ref="E28">IFERROR(IFERROR(INDEX('Monthly_Cohort_&amp;_Matrix'!$C:$N,(ROW()-17)*2+2,COLUMN()+ROW()-19),"")/$B28,"")</f>
        <v/>
      </c>
      <c r="F28" s="17" t="str" cm="1">
        <f ca="1" t="array" ref="F28">IFERROR(IFERROR(INDEX('Monthly_Cohort_&amp;_Matrix'!$C:$N,(ROW()-17)*2+2,COLUMN()+ROW()-19),"")/$B28,"")</f>
        <v/>
      </c>
      <c r="G28" s="17" t="str" cm="1">
        <f ca="1" t="array" ref="G28">IFERROR(IFERROR(INDEX('Monthly_Cohort_&amp;_Matrix'!$C:$N,(ROW()-17)*2+2,COLUMN()+ROW()-19),"")/$B28,"")</f>
        <v/>
      </c>
      <c r="H28" s="17" t="str" cm="1">
        <f ca="1" t="array" ref="H28">IFERROR(IFERROR(INDEX('Monthly_Cohort_&amp;_Matrix'!$C:$N,(ROW()-17)*2+2,COLUMN()+ROW()-19),"")/$B28,"")</f>
        <v/>
      </c>
      <c r="I28" s="17" t="str" cm="1">
        <f ca="1" t="array" ref="I28">IFERROR(IFERROR(INDEX('Monthly_Cohort_&amp;_Matrix'!$C:$N,(ROW()-17)*2+2,COLUMN()+ROW()-19),"")/$B28,"")</f>
        <v/>
      </c>
      <c r="J28" s="17" t="str" cm="1">
        <f ca="1" t="array" ref="J28">IFERROR(IFERROR(INDEX('Monthly_Cohort_&amp;_Matrix'!$C:$N,(ROW()-17)*2+2,COLUMN()+ROW()-19),"")/$B28,"")</f>
        <v/>
      </c>
      <c r="K28" s="17" t="str" cm="1">
        <f ca="1" t="array" ref="K28">IFERROR(IFERROR(INDEX('Monthly_Cohort_&amp;_Matrix'!$C:$N,(ROW()-17)*2+2,COLUMN()+ROW()-19),"")/$B28,"")</f>
        <v/>
      </c>
      <c r="L28" s="17" t="str" cm="1">
        <f ca="1" t="array" ref="L28">IFERROR(IFERROR(INDEX('Monthly_Cohort_&amp;_Matrix'!$C:$N,(ROW()-17)*2+2,COLUMN()+ROW()-19),"")/$B28,"")</f>
        <v/>
      </c>
      <c r="M28" s="17" t="str" cm="1">
        <f ca="1" t="array" ref="M28">IFERROR(IFERROR(INDEX('Monthly_Cohort_&amp;_Matrix'!$C:$N,(ROW()-17)*2+2,COLUMN()+ROW()-19),"")/$B28,"")</f>
        <v/>
      </c>
      <c r="N28" s="18" t="str" cm="1">
        <f ca="1" t="array" ref="N28">IFERROR(IFERROR(INDEX('Monthly_Cohort_&amp;_Matrix'!$C:$N,(ROW()-17)*2+2,COLUMN()+ROW()-19),"")/$B28,"")</f>
        <v/>
      </c>
    </row>
  </sheetData>
  <conditionalFormatting sqref="C2:C13">
    <cfRule type="dataBar" priority="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{1b6d4a38-1986-4e42-a11b-9e97693b1d88}</x14:id>
        </ext>
      </extLst>
    </cfRule>
  </conditionalFormatting>
  <conditionalFormatting sqref="C17:C2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{9299799e-45ed-4f62-9c1f-d88a7ae4df79}</x14:id>
        </ext>
      </extLst>
    </cfRule>
  </conditionalFormatting>
  <conditionalFormatting sqref="D2:D13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{fb4c9798-d005-4d17-9551-d85205d56229}</x14:id>
        </ext>
      </extLst>
    </cfRule>
  </conditionalFormatting>
  <conditionalFormatting sqref="D17:D2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{71fcf1d2-cc81-43fe-aaa3-e57cface15b1}</x14:id>
        </ext>
      </extLst>
    </cfRule>
  </conditionalFormatting>
  <conditionalFormatting sqref="E2:E13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{07d2af5b-41cd-4587-a634-590d29deb743}</x14:id>
        </ext>
      </extLst>
    </cfRule>
  </conditionalFormatting>
  <conditionalFormatting sqref="E17:E2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{fc178442-6959-4bf9-b502-be6eca2d2974}</x14:id>
        </ext>
      </extLst>
    </cfRule>
  </conditionalFormatting>
  <conditionalFormatting sqref="F2:F13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{b168352a-f7d5-4816-a71a-b7ce3abe2237}</x14:id>
        </ext>
      </extLst>
    </cfRule>
  </conditionalFormatting>
  <conditionalFormatting sqref="F17:F28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{0087b8dc-8269-4f0e-9968-c703153493a2}</x14:id>
        </ext>
      </extLst>
    </cfRule>
  </conditionalFormatting>
  <conditionalFormatting sqref="G2:G1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{a7c667d0-2528-4fa4-a056-c476689f4704}</x14:id>
        </ext>
      </extLst>
    </cfRule>
  </conditionalFormatting>
  <conditionalFormatting sqref="G17:G2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{ecb9b942-f358-4077-b616-8d089b5f221e}</x14:id>
        </ext>
      </extLst>
    </cfRule>
  </conditionalFormatting>
  <conditionalFormatting sqref="H2:H13">
    <cfRule type="dataBar" priority="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{118f442e-6712-4975-a6b8-974b94e403c8}</x14:id>
        </ext>
      </extLst>
    </cfRule>
  </conditionalFormatting>
  <conditionalFormatting sqref="H17:H28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{c37d9cb1-6c88-4587-a7b9-a34df116bc7d}</x14:id>
        </ext>
      </extLst>
    </cfRule>
  </conditionalFormatting>
  <conditionalFormatting sqref="I2:I13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{311c1848-5c58-44f2-ac5c-257d2ee7225d}</x14:id>
        </ext>
      </extLst>
    </cfRule>
  </conditionalFormatting>
  <conditionalFormatting sqref="I17:I28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{7f6b95df-f6d4-48fb-b0cf-445c9c7c8572}</x14:id>
        </ext>
      </extLst>
    </cfRule>
  </conditionalFormatting>
  <conditionalFormatting sqref="J2:J13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{4538d740-7d36-4cf6-820a-20351886b934}</x14:id>
        </ext>
      </extLst>
    </cfRule>
  </conditionalFormatting>
  <conditionalFormatting sqref="J17:J2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{580bc3cb-8a50-4fa3-bd22-aa4e09457eae}</x14:id>
        </ext>
      </extLst>
    </cfRule>
  </conditionalFormatting>
  <conditionalFormatting sqref="K2:K13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{19bc5f7e-60bd-4c07-8430-b50fa7a6a26f}</x14:id>
        </ext>
      </extLst>
    </cfRule>
  </conditionalFormatting>
  <conditionalFormatting sqref="K17:K2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{d186fd79-315b-4830-ad04-a7b013a3a353}</x14:id>
        </ext>
      </extLst>
    </cfRule>
  </conditionalFormatting>
  <conditionalFormatting sqref="L2:L13"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{71473b36-7582-4e5d-b5c1-cad86b4cacbb}</x14:id>
        </ext>
      </extLst>
    </cfRule>
  </conditionalFormatting>
  <conditionalFormatting sqref="L17:L28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{a6ed8167-99fb-45a5-88fe-e13b291b7ed4}</x14:id>
        </ext>
      </extLst>
    </cfRule>
  </conditionalFormatting>
  <conditionalFormatting sqref="M2:M13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{d26f413a-e112-4006-9454-d42ee9dc80a4}</x14:id>
        </ext>
      </extLst>
    </cfRule>
  </conditionalFormatting>
  <conditionalFormatting sqref="M17:M2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{6e33de3b-3de8-4e6e-991b-2a13dc5fd558}</x14:id>
        </ext>
      </extLst>
    </cfRule>
  </conditionalFormatting>
  <conditionalFormatting sqref="N2:N13">
    <cfRule type="dataBar" priority="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{ed8ce0af-b3d8-49fc-92c1-b8e657615151}</x14:id>
        </ext>
      </extLst>
    </cfRule>
  </conditionalFormatting>
  <conditionalFormatting sqref="N17:N28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{c8968156-e10d-46f1-b9e1-4979b8954de8}</x14:id>
        </ext>
      </extLst>
    </cfRule>
  </conditionalFormatting>
  <printOptions horizontalCentered="1" verticalCentered="1"/>
  <pageMargins left="0.75" right="0.75" top="1" bottom="1" header="0.5" footer="0.5"/>
  <pageSetup paperSize="1" scale="92" orientation="landscape" horizontalDpi="6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6d4a38-1986-4e42-a11b-9e97693b1d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C2:C13</xm:sqref>
        </x14:conditionalFormatting>
        <x14:conditionalFormatting xmlns:xm="http://schemas.microsoft.com/office/excel/2006/main">
          <x14:cfRule type="dataBar" id="{9299799e-45ed-4f62-9c1f-d88a7ae4d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C17:C28</xm:sqref>
        </x14:conditionalFormatting>
        <x14:conditionalFormatting xmlns:xm="http://schemas.microsoft.com/office/excel/2006/main">
          <x14:cfRule type="dataBar" id="{fb4c9798-d005-4d17-9551-d85205d562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D2:D13</xm:sqref>
        </x14:conditionalFormatting>
        <x14:conditionalFormatting xmlns:xm="http://schemas.microsoft.com/office/excel/2006/main">
          <x14:cfRule type="dataBar" id="{71fcf1d2-cc81-43fe-aaa3-e57cface15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D17:D28</xm:sqref>
        </x14:conditionalFormatting>
        <x14:conditionalFormatting xmlns:xm="http://schemas.microsoft.com/office/excel/2006/main">
          <x14:cfRule type="dataBar" id="{07d2af5b-41cd-4587-a634-590d29deb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E2:E13</xm:sqref>
        </x14:conditionalFormatting>
        <x14:conditionalFormatting xmlns:xm="http://schemas.microsoft.com/office/excel/2006/main">
          <x14:cfRule type="dataBar" id="{fc178442-6959-4bf9-b502-be6eca2d29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E17:E28</xm:sqref>
        </x14:conditionalFormatting>
        <x14:conditionalFormatting xmlns:xm="http://schemas.microsoft.com/office/excel/2006/main">
          <x14:cfRule type="dataBar" id="{b168352a-f7d5-4816-a71a-b7ce3abe223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F2:F13</xm:sqref>
        </x14:conditionalFormatting>
        <x14:conditionalFormatting xmlns:xm="http://schemas.microsoft.com/office/excel/2006/main">
          <x14:cfRule type="dataBar" id="{0087b8dc-8269-4f0e-9968-c703153493a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F17:F28</xm:sqref>
        </x14:conditionalFormatting>
        <x14:conditionalFormatting xmlns:xm="http://schemas.microsoft.com/office/excel/2006/main">
          <x14:cfRule type="dataBar" id="{a7c667d0-2528-4fa4-a056-c476689f47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G2:G13</xm:sqref>
        </x14:conditionalFormatting>
        <x14:conditionalFormatting xmlns:xm="http://schemas.microsoft.com/office/excel/2006/main">
          <x14:cfRule type="dataBar" id="{ecb9b942-f358-4077-b616-8d089b5f22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G17:G28</xm:sqref>
        </x14:conditionalFormatting>
        <x14:conditionalFormatting xmlns:xm="http://schemas.microsoft.com/office/excel/2006/main">
          <x14:cfRule type="dataBar" id="{118f442e-6712-4975-a6b8-974b94e403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H2:H13</xm:sqref>
        </x14:conditionalFormatting>
        <x14:conditionalFormatting xmlns:xm="http://schemas.microsoft.com/office/excel/2006/main">
          <x14:cfRule type="dataBar" id="{c37d9cb1-6c88-4587-a7b9-a34df116bc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H17:H28</xm:sqref>
        </x14:conditionalFormatting>
        <x14:conditionalFormatting xmlns:xm="http://schemas.microsoft.com/office/excel/2006/main">
          <x14:cfRule type="dataBar" id="{311c1848-5c58-44f2-ac5c-257d2ee722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I2:I13</xm:sqref>
        </x14:conditionalFormatting>
        <x14:conditionalFormatting xmlns:xm="http://schemas.microsoft.com/office/excel/2006/main">
          <x14:cfRule type="dataBar" id="{7f6b95df-f6d4-48fb-b0cf-445c9c7c85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I17:I28</xm:sqref>
        </x14:conditionalFormatting>
        <x14:conditionalFormatting xmlns:xm="http://schemas.microsoft.com/office/excel/2006/main">
          <x14:cfRule type="dataBar" id="{4538d740-7d36-4cf6-820a-20351886b9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J2:J13</xm:sqref>
        </x14:conditionalFormatting>
        <x14:conditionalFormatting xmlns:xm="http://schemas.microsoft.com/office/excel/2006/main">
          <x14:cfRule type="dataBar" id="{580bc3cb-8a50-4fa3-bd22-aa4e09457e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J17:J28</xm:sqref>
        </x14:conditionalFormatting>
        <x14:conditionalFormatting xmlns:xm="http://schemas.microsoft.com/office/excel/2006/main">
          <x14:cfRule type="dataBar" id="{19bc5f7e-60bd-4c07-8430-b50fa7a6a2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K2:K13</xm:sqref>
        </x14:conditionalFormatting>
        <x14:conditionalFormatting xmlns:xm="http://schemas.microsoft.com/office/excel/2006/main">
          <x14:cfRule type="dataBar" id="{d186fd79-315b-4830-ad04-a7b013a3a3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K17:K28</xm:sqref>
        </x14:conditionalFormatting>
        <x14:conditionalFormatting xmlns:xm="http://schemas.microsoft.com/office/excel/2006/main">
          <x14:cfRule type="dataBar" id="{71473b36-7582-4e5d-b5c1-cad86b4cacb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L2:L13</xm:sqref>
        </x14:conditionalFormatting>
        <x14:conditionalFormatting xmlns:xm="http://schemas.microsoft.com/office/excel/2006/main">
          <x14:cfRule type="dataBar" id="{a6ed8167-99fb-45a5-88fe-e13b291b7ed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L17:L28</xm:sqref>
        </x14:conditionalFormatting>
        <x14:conditionalFormatting xmlns:xm="http://schemas.microsoft.com/office/excel/2006/main">
          <x14:cfRule type="dataBar" id="{d26f413a-e112-4006-9454-d42ee9dc80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M2:M13</xm:sqref>
        </x14:conditionalFormatting>
        <x14:conditionalFormatting xmlns:xm="http://schemas.microsoft.com/office/excel/2006/main">
          <x14:cfRule type="dataBar" id="{6e33de3b-3de8-4e6e-991b-2a13dc5fd5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M17:M28</xm:sqref>
        </x14:conditionalFormatting>
        <x14:conditionalFormatting xmlns:xm="http://schemas.microsoft.com/office/excel/2006/main">
          <x14:cfRule type="dataBar" id="{ed8ce0af-b3d8-49fc-92c1-b8e6576151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N2:N13</xm:sqref>
        </x14:conditionalFormatting>
        <x14:conditionalFormatting xmlns:xm="http://schemas.microsoft.com/office/excel/2006/main">
          <x14:cfRule type="dataBar" id="{c8968156-e10d-46f1-b9e1-4979b8954d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N17:N28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7"/>
  <sheetViews>
    <sheetView zoomScale="91" zoomScaleNormal="91" workbookViewId="0">
      <selection activeCell="A1" sqref="A1:O27"/>
    </sheetView>
  </sheetViews>
  <sheetFormatPr defaultColWidth="8.79279279279279" defaultRowHeight="14.4"/>
  <cols>
    <col min="1" max="1" width="11.4774774774775" style="1" customWidth="1"/>
    <col min="2" max="2" width="17.3783783783784" style="1" customWidth="1"/>
    <col min="3" max="5" width="13.7657657657658" style="2" customWidth="1"/>
    <col min="6" max="6" width="14.3603603603604" style="2" customWidth="1"/>
    <col min="7" max="7" width="15.4594594594595" style="2" customWidth="1"/>
    <col min="8" max="8" width="2.48648648648649" style="2" customWidth="1"/>
    <col min="9" max="9" width="11.4774774774775" style="2" customWidth="1"/>
    <col min="10" max="10" width="17.3783783783784" style="2" customWidth="1"/>
    <col min="11" max="13" width="13.954954954955" style="2" customWidth="1"/>
    <col min="14" max="14" width="14.3603603603604" style="2" customWidth="1"/>
    <col min="15" max="15" width="15.4594594594595" style="2" customWidth="1"/>
  </cols>
  <sheetData>
    <row r="1" spans="1:15">
      <c r="A1" s="3" t="s">
        <v>26</v>
      </c>
      <c r="B1" s="4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I1" s="3" t="s">
        <v>26</v>
      </c>
      <c r="J1" s="4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</row>
    <row r="2" spans="1:15">
      <c r="A2" s="6">
        <v>44652</v>
      </c>
      <c r="B2" s="7">
        <f t="shared" ref="B2:B13" si="0">SUM(C2:G2)</f>
        <v>11871</v>
      </c>
      <c r="C2" s="8">
        <v>11871</v>
      </c>
      <c r="D2" s="8">
        <v>0</v>
      </c>
      <c r="E2" s="8">
        <v>0</v>
      </c>
      <c r="F2" s="8">
        <v>0</v>
      </c>
      <c r="G2" s="8">
        <v>0</v>
      </c>
      <c r="I2" s="6">
        <v>44652</v>
      </c>
      <c r="J2" s="7">
        <f t="shared" ref="J2:J13" si="1">B2</f>
        <v>11871</v>
      </c>
      <c r="K2" s="9">
        <f t="shared" ref="K2:O2" si="2">IFERROR(C2/$B2,0)</f>
        <v>1</v>
      </c>
      <c r="L2" s="9">
        <f t="shared" si="2"/>
        <v>0</v>
      </c>
      <c r="M2" s="9">
        <f t="shared" si="2"/>
        <v>0</v>
      </c>
      <c r="N2" s="9">
        <f t="shared" si="2"/>
        <v>0</v>
      </c>
      <c r="O2" s="9">
        <f t="shared" si="2"/>
        <v>0</v>
      </c>
    </row>
    <row r="3" spans="1:15">
      <c r="A3" s="6">
        <v>44682</v>
      </c>
      <c r="B3" s="7">
        <f t="shared" si="0"/>
        <v>17402</v>
      </c>
      <c r="C3" s="8">
        <v>15998</v>
      </c>
      <c r="D3" s="8">
        <v>1404</v>
      </c>
      <c r="E3" s="8">
        <v>0</v>
      </c>
      <c r="F3" s="8">
        <v>0</v>
      </c>
      <c r="G3" s="8">
        <v>0</v>
      </c>
      <c r="I3" s="6">
        <v>44682</v>
      </c>
      <c r="J3" s="7">
        <f t="shared" si="1"/>
        <v>17402</v>
      </c>
      <c r="K3" s="9">
        <f t="shared" ref="K3:O3" si="3">IFERROR(C3/$B3,0)</f>
        <v>0.919319618434663</v>
      </c>
      <c r="L3" s="9">
        <f t="shared" si="3"/>
        <v>0.0806803815653373</v>
      </c>
      <c r="M3" s="9">
        <f t="shared" si="3"/>
        <v>0</v>
      </c>
      <c r="N3" s="9">
        <f t="shared" si="3"/>
        <v>0</v>
      </c>
      <c r="O3" s="9">
        <f t="shared" si="3"/>
        <v>0</v>
      </c>
    </row>
    <row r="4" spans="1:15">
      <c r="A4" s="6">
        <v>44713</v>
      </c>
      <c r="B4" s="7">
        <f t="shared" si="0"/>
        <v>21714</v>
      </c>
      <c r="C4" s="8">
        <v>19147</v>
      </c>
      <c r="D4" s="8">
        <v>1924</v>
      </c>
      <c r="E4" s="8">
        <v>643</v>
      </c>
      <c r="F4" s="8">
        <v>0</v>
      </c>
      <c r="G4" s="8">
        <v>0</v>
      </c>
      <c r="I4" s="6">
        <v>44713</v>
      </c>
      <c r="J4" s="7">
        <f t="shared" si="1"/>
        <v>21714</v>
      </c>
      <c r="K4" s="9">
        <f t="shared" ref="K4:O4" si="4">IFERROR(C4/$B4,0)</f>
        <v>0.881781339228148</v>
      </c>
      <c r="L4" s="9">
        <f t="shared" si="4"/>
        <v>0.0886064290319609</v>
      </c>
      <c r="M4" s="9">
        <f t="shared" si="4"/>
        <v>0.0296122317398913</v>
      </c>
      <c r="N4" s="9">
        <f t="shared" si="4"/>
        <v>0</v>
      </c>
      <c r="O4" s="9">
        <f t="shared" si="4"/>
        <v>0</v>
      </c>
    </row>
    <row r="5" spans="1:15">
      <c r="A5" s="6">
        <v>44743</v>
      </c>
      <c r="B5" s="7">
        <f t="shared" si="0"/>
        <v>22982</v>
      </c>
      <c r="C5" s="8">
        <v>19360</v>
      </c>
      <c r="D5" s="8">
        <v>2181</v>
      </c>
      <c r="E5" s="8">
        <v>916</v>
      </c>
      <c r="F5" s="8">
        <v>525</v>
      </c>
      <c r="G5" s="8">
        <v>0</v>
      </c>
      <c r="I5" s="6">
        <v>44743</v>
      </c>
      <c r="J5" s="7">
        <f t="shared" si="1"/>
        <v>22982</v>
      </c>
      <c r="K5" s="9">
        <f t="shared" ref="K5:O5" si="5">IFERROR(C5/$B5,0)</f>
        <v>0.842398398746845</v>
      </c>
      <c r="L5" s="9">
        <f t="shared" si="5"/>
        <v>0.0949003568009747</v>
      </c>
      <c r="M5" s="9">
        <f t="shared" si="5"/>
        <v>0.0398572796101297</v>
      </c>
      <c r="N5" s="9">
        <f t="shared" si="5"/>
        <v>0.0228439648420503</v>
      </c>
      <c r="O5" s="9">
        <f t="shared" si="5"/>
        <v>0</v>
      </c>
    </row>
    <row r="6" spans="1:15">
      <c r="A6" s="6">
        <v>44774</v>
      </c>
      <c r="B6" s="7">
        <f t="shared" si="0"/>
        <v>21920</v>
      </c>
      <c r="C6" s="8">
        <v>18585</v>
      </c>
      <c r="D6" s="8">
        <v>1688</v>
      </c>
      <c r="E6" s="8">
        <v>693</v>
      </c>
      <c r="F6" s="8">
        <v>954</v>
      </c>
      <c r="G6" s="8">
        <v>0</v>
      </c>
      <c r="I6" s="6">
        <v>44774</v>
      </c>
      <c r="J6" s="7">
        <f t="shared" si="1"/>
        <v>21920</v>
      </c>
      <c r="K6" s="9">
        <f t="shared" ref="K6:O6" si="6">IFERROR(C6/$B6,0)</f>
        <v>0.847855839416058</v>
      </c>
      <c r="L6" s="9">
        <f t="shared" si="6"/>
        <v>0.077007299270073</v>
      </c>
      <c r="M6" s="9">
        <f t="shared" si="6"/>
        <v>0.0316149635036496</v>
      </c>
      <c r="N6" s="9">
        <f t="shared" si="6"/>
        <v>0.043521897810219</v>
      </c>
      <c r="O6" s="9">
        <f t="shared" si="6"/>
        <v>0</v>
      </c>
    </row>
    <row r="7" spans="1:15">
      <c r="A7" s="6">
        <v>44805</v>
      </c>
      <c r="B7" s="7">
        <f t="shared" si="0"/>
        <v>17502</v>
      </c>
      <c r="C7" s="8">
        <v>13772</v>
      </c>
      <c r="D7" s="8">
        <v>1496</v>
      </c>
      <c r="E7" s="8">
        <v>831</v>
      </c>
      <c r="F7" s="8">
        <v>1403</v>
      </c>
      <c r="G7" s="8">
        <v>0</v>
      </c>
      <c r="I7" s="6">
        <v>44805</v>
      </c>
      <c r="J7" s="7">
        <f t="shared" si="1"/>
        <v>17502</v>
      </c>
      <c r="K7" s="9">
        <f t="shared" ref="K7:O7" si="7">IFERROR(C7/$B7,0)</f>
        <v>0.786881499257228</v>
      </c>
      <c r="L7" s="9">
        <f t="shared" si="7"/>
        <v>0.0854759456062164</v>
      </c>
      <c r="M7" s="9">
        <f t="shared" si="7"/>
        <v>0.0474802879670895</v>
      </c>
      <c r="N7" s="9">
        <f t="shared" si="7"/>
        <v>0.0801622671694664</v>
      </c>
      <c r="O7" s="9">
        <f t="shared" si="7"/>
        <v>0</v>
      </c>
    </row>
    <row r="8" spans="1:15">
      <c r="A8" s="6">
        <v>44835</v>
      </c>
      <c r="B8" s="7">
        <f t="shared" si="0"/>
        <v>14319</v>
      </c>
      <c r="C8" s="8">
        <v>10553</v>
      </c>
      <c r="D8" s="8">
        <v>1098</v>
      </c>
      <c r="E8" s="8">
        <v>726</v>
      </c>
      <c r="F8" s="8">
        <v>1614</v>
      </c>
      <c r="G8" s="8">
        <v>328</v>
      </c>
      <c r="I8" s="6">
        <v>44835</v>
      </c>
      <c r="J8" s="7">
        <f t="shared" si="1"/>
        <v>14319</v>
      </c>
      <c r="K8" s="9">
        <f t="shared" ref="K8:O8" si="8">IFERROR(C8/$B8,0)</f>
        <v>0.736992806760249</v>
      </c>
      <c r="L8" s="9">
        <f t="shared" si="8"/>
        <v>0.076681332495286</v>
      </c>
      <c r="M8" s="9">
        <f t="shared" si="8"/>
        <v>0.050701864655353</v>
      </c>
      <c r="N8" s="9">
        <f t="shared" si="8"/>
        <v>0.112717368531322</v>
      </c>
      <c r="O8" s="9">
        <f t="shared" si="8"/>
        <v>0.0229066275577903</v>
      </c>
    </row>
    <row r="9" spans="1:15">
      <c r="A9" s="6">
        <v>44866</v>
      </c>
      <c r="B9" s="7">
        <f t="shared" si="0"/>
        <v>16063</v>
      </c>
      <c r="C9" s="8">
        <v>12935</v>
      </c>
      <c r="D9" s="8">
        <v>952</v>
      </c>
      <c r="E9" s="8">
        <v>451</v>
      </c>
      <c r="F9" s="8">
        <v>1125</v>
      </c>
      <c r="G9" s="8">
        <v>600</v>
      </c>
      <c r="I9" s="6">
        <v>44866</v>
      </c>
      <c r="J9" s="7">
        <f t="shared" si="1"/>
        <v>16063</v>
      </c>
      <c r="K9" s="9">
        <f t="shared" ref="K9:O9" si="9">IFERROR(C9/$B9,0)</f>
        <v>0.805266762124136</v>
      </c>
      <c r="L9" s="9">
        <f t="shared" si="9"/>
        <v>0.0592666376143933</v>
      </c>
      <c r="M9" s="9">
        <f t="shared" si="9"/>
        <v>0.0280769470211044</v>
      </c>
      <c r="N9" s="9">
        <f t="shared" si="9"/>
        <v>0.0700367303741518</v>
      </c>
      <c r="O9" s="9">
        <f t="shared" si="9"/>
        <v>0.0373529228662143</v>
      </c>
    </row>
    <row r="10" spans="1:15">
      <c r="A10" s="6">
        <v>44896</v>
      </c>
      <c r="B10" s="7">
        <f t="shared" si="0"/>
        <v>14594</v>
      </c>
      <c r="C10" s="8">
        <v>10997</v>
      </c>
      <c r="D10" s="8">
        <v>1222</v>
      </c>
      <c r="E10" s="8">
        <v>449</v>
      </c>
      <c r="F10" s="8">
        <v>1059</v>
      </c>
      <c r="G10" s="8">
        <v>867</v>
      </c>
      <c r="I10" s="6">
        <v>44896</v>
      </c>
      <c r="J10" s="7">
        <f t="shared" si="1"/>
        <v>14594</v>
      </c>
      <c r="K10" s="9">
        <f t="shared" ref="K10:O10" si="10">IFERROR(C10/$B10,0)</f>
        <v>0.753528847471564</v>
      </c>
      <c r="L10" s="9">
        <f t="shared" si="10"/>
        <v>0.0837330409757435</v>
      </c>
      <c r="M10" s="9">
        <f t="shared" si="10"/>
        <v>0.0307660682472249</v>
      </c>
      <c r="N10" s="9">
        <f t="shared" si="10"/>
        <v>0.0725640674249692</v>
      </c>
      <c r="O10" s="9">
        <f t="shared" si="10"/>
        <v>0.0594079758804988</v>
      </c>
    </row>
    <row r="11" spans="1:15">
      <c r="A11" s="6">
        <v>44927</v>
      </c>
      <c r="B11" s="7">
        <f t="shared" si="0"/>
        <v>14870</v>
      </c>
      <c r="C11" s="8">
        <v>11697</v>
      </c>
      <c r="D11" s="8">
        <v>860</v>
      </c>
      <c r="E11" s="8">
        <v>415</v>
      </c>
      <c r="F11" s="8">
        <v>786</v>
      </c>
      <c r="G11" s="8">
        <v>1112</v>
      </c>
      <c r="I11" s="6">
        <v>44927</v>
      </c>
      <c r="J11" s="7">
        <f t="shared" si="1"/>
        <v>14870</v>
      </c>
      <c r="K11" s="9">
        <f t="shared" ref="K11:O11" si="11">IFERROR(C11/$B11,0)</f>
        <v>0.786617350369872</v>
      </c>
      <c r="L11" s="9">
        <f t="shared" si="11"/>
        <v>0.0578345662407532</v>
      </c>
      <c r="M11" s="9">
        <f t="shared" si="11"/>
        <v>0.0279085406859449</v>
      </c>
      <c r="N11" s="9">
        <f t="shared" si="11"/>
        <v>0.0528581035642233</v>
      </c>
      <c r="O11" s="9">
        <f t="shared" si="11"/>
        <v>0.0747814391392065</v>
      </c>
    </row>
    <row r="12" spans="1:15">
      <c r="A12" s="6">
        <v>44958</v>
      </c>
      <c r="B12" s="7">
        <f t="shared" si="0"/>
        <v>15032</v>
      </c>
      <c r="C12" s="8">
        <v>11724</v>
      </c>
      <c r="D12" s="8">
        <v>996</v>
      </c>
      <c r="E12" s="8">
        <v>373</v>
      </c>
      <c r="F12" s="8">
        <v>669</v>
      </c>
      <c r="G12" s="8">
        <v>1270</v>
      </c>
      <c r="I12" s="6">
        <v>44958</v>
      </c>
      <c r="J12" s="7">
        <f t="shared" si="1"/>
        <v>15032</v>
      </c>
      <c r="K12" s="9">
        <f t="shared" ref="K12:O12" si="12">IFERROR(C12/$B12,0)</f>
        <v>0.779936136242682</v>
      </c>
      <c r="L12" s="9">
        <f t="shared" si="12"/>
        <v>0.0662586482171368</v>
      </c>
      <c r="M12" s="9">
        <f t="shared" si="12"/>
        <v>0.0248137307078233</v>
      </c>
      <c r="N12" s="9">
        <f t="shared" si="12"/>
        <v>0.0445050558807877</v>
      </c>
      <c r="O12" s="9">
        <f t="shared" si="12"/>
        <v>0.08448642895157</v>
      </c>
    </row>
    <row r="13" spans="1:15">
      <c r="A13" s="10">
        <v>44986</v>
      </c>
      <c r="B13" s="7">
        <f t="shared" si="0"/>
        <v>17610</v>
      </c>
      <c r="C13" s="8">
        <v>14383</v>
      </c>
      <c r="D13" s="8">
        <v>855</v>
      </c>
      <c r="E13" s="8">
        <v>454</v>
      </c>
      <c r="F13" s="8">
        <v>649</v>
      </c>
      <c r="G13" s="8">
        <v>1269</v>
      </c>
      <c r="I13" s="10">
        <v>44986</v>
      </c>
      <c r="J13" s="7">
        <f t="shared" si="1"/>
        <v>17610</v>
      </c>
      <c r="K13" s="9">
        <f t="shared" ref="K13:O13" si="13">IFERROR(C13/$B13,0)</f>
        <v>0.816751845542306</v>
      </c>
      <c r="L13" s="9">
        <f t="shared" si="13"/>
        <v>0.0485519591141397</v>
      </c>
      <c r="M13" s="9">
        <f t="shared" si="13"/>
        <v>0.0257808063600227</v>
      </c>
      <c r="N13" s="9">
        <f t="shared" si="13"/>
        <v>0.0368540601930721</v>
      </c>
      <c r="O13" s="9">
        <f t="shared" si="13"/>
        <v>0.07206132879046</v>
      </c>
    </row>
    <row r="15" spans="1:15">
      <c r="A15" s="11" t="s">
        <v>26</v>
      </c>
      <c r="B15" s="12" t="s">
        <v>33</v>
      </c>
      <c r="C15" s="5" t="s">
        <v>28</v>
      </c>
      <c r="D15" s="5" t="s">
        <v>29</v>
      </c>
      <c r="E15" s="5" t="s">
        <v>30</v>
      </c>
      <c r="F15" s="5" t="s">
        <v>31</v>
      </c>
      <c r="G15" s="5" t="s">
        <v>32</v>
      </c>
      <c r="I15" s="11" t="s">
        <v>26</v>
      </c>
      <c r="J15" s="12" t="s">
        <v>33</v>
      </c>
      <c r="K15" s="5" t="s">
        <v>28</v>
      </c>
      <c r="L15" s="5" t="s">
        <v>29</v>
      </c>
      <c r="M15" s="5" t="s">
        <v>30</v>
      </c>
      <c r="N15" s="5" t="s">
        <v>31</v>
      </c>
      <c r="O15" s="5" t="s">
        <v>32</v>
      </c>
    </row>
    <row r="16" spans="1:15">
      <c r="A16" s="6">
        <v>44652</v>
      </c>
      <c r="B16" s="7">
        <f t="shared" ref="B16:B27" si="14">SUM(C16:G16)</f>
        <v>3470489.01252315</v>
      </c>
      <c r="C16" s="8">
        <v>3470489.01252315</v>
      </c>
      <c r="D16" s="8">
        <v>0</v>
      </c>
      <c r="E16" s="8">
        <v>0</v>
      </c>
      <c r="F16" s="8">
        <v>0</v>
      </c>
      <c r="G16" s="8">
        <v>0</v>
      </c>
      <c r="I16" s="6">
        <v>44652</v>
      </c>
      <c r="J16" s="7">
        <f t="shared" ref="J16:J27" si="15">B16</f>
        <v>3470489.01252315</v>
      </c>
      <c r="K16" s="9">
        <f t="shared" ref="K16:O16" si="16">IFERROR(C16/$B16,0)</f>
        <v>1</v>
      </c>
      <c r="L16" s="9">
        <f t="shared" si="16"/>
        <v>0</v>
      </c>
      <c r="M16" s="9">
        <f t="shared" si="16"/>
        <v>0</v>
      </c>
      <c r="N16" s="9">
        <f t="shared" si="16"/>
        <v>0</v>
      </c>
      <c r="O16" s="9">
        <f t="shared" si="16"/>
        <v>0</v>
      </c>
    </row>
    <row r="17" spans="1:15">
      <c r="A17" s="6">
        <v>44682</v>
      </c>
      <c r="B17" s="7">
        <f t="shared" si="14"/>
        <v>9651773.84755788</v>
      </c>
      <c r="C17" s="8">
        <v>5119928.17410458</v>
      </c>
      <c r="D17" s="8">
        <v>4531845.6734533</v>
      </c>
      <c r="E17" s="8">
        <v>0</v>
      </c>
      <c r="F17" s="8">
        <v>0</v>
      </c>
      <c r="G17" s="8">
        <v>0</v>
      </c>
      <c r="I17" s="6">
        <v>44682</v>
      </c>
      <c r="J17" s="7">
        <f t="shared" si="15"/>
        <v>9651773.84755788</v>
      </c>
      <c r="K17" s="9">
        <f t="shared" ref="K17:O17" si="17">IFERROR(C17/$B17,0)</f>
        <v>0.530464995861879</v>
      </c>
      <c r="L17" s="9">
        <f t="shared" si="17"/>
        <v>0.469535004138121</v>
      </c>
      <c r="M17" s="9">
        <f t="shared" si="17"/>
        <v>0</v>
      </c>
      <c r="N17" s="9">
        <f t="shared" si="17"/>
        <v>0</v>
      </c>
      <c r="O17" s="9">
        <f t="shared" si="17"/>
        <v>0</v>
      </c>
    </row>
    <row r="18" spans="1:15">
      <c r="A18" s="6">
        <v>44713</v>
      </c>
      <c r="B18" s="7">
        <f t="shared" si="14"/>
        <v>9083109.40151623</v>
      </c>
      <c r="C18" s="8">
        <v>3815355.2505326</v>
      </c>
      <c r="D18" s="8">
        <v>3251729.44022218</v>
      </c>
      <c r="E18" s="8">
        <v>2016024.71076145</v>
      </c>
      <c r="F18" s="8">
        <v>0</v>
      </c>
      <c r="G18" s="8">
        <v>0</v>
      </c>
      <c r="I18" s="6">
        <v>44713</v>
      </c>
      <c r="J18" s="7">
        <f t="shared" si="15"/>
        <v>9083109.40151623</v>
      </c>
      <c r="K18" s="9">
        <f t="shared" ref="K18:O18" si="18">IFERROR(C18/$B18,0)</f>
        <v>0.420049465648372</v>
      </c>
      <c r="L18" s="9">
        <f t="shared" si="18"/>
        <v>0.357997387951682</v>
      </c>
      <c r="M18" s="9">
        <f t="shared" si="18"/>
        <v>0.221953146399945</v>
      </c>
      <c r="N18" s="9">
        <f t="shared" si="18"/>
        <v>0</v>
      </c>
      <c r="O18" s="9">
        <f t="shared" si="18"/>
        <v>0</v>
      </c>
    </row>
    <row r="19" spans="1:15">
      <c r="A19" s="6">
        <v>44743</v>
      </c>
      <c r="B19" s="7">
        <f t="shared" si="14"/>
        <v>10710229.9726867</v>
      </c>
      <c r="C19" s="8">
        <v>4547888.81180353</v>
      </c>
      <c r="D19" s="8">
        <v>2577614.24978113</v>
      </c>
      <c r="E19" s="8">
        <v>2104764.61018048</v>
      </c>
      <c r="F19" s="8">
        <v>1479962.3009216</v>
      </c>
      <c r="G19" s="8">
        <v>0</v>
      </c>
      <c r="I19" s="6">
        <v>44743</v>
      </c>
      <c r="J19" s="7">
        <f t="shared" si="15"/>
        <v>10710229.9726867</v>
      </c>
      <c r="K19" s="9">
        <f t="shared" ref="K19:O19" si="19">IFERROR(C19/$B19,0)</f>
        <v>0.424630360263185</v>
      </c>
      <c r="L19" s="9">
        <f t="shared" si="19"/>
        <v>0.240668431616741</v>
      </c>
      <c r="M19" s="9">
        <f t="shared" si="19"/>
        <v>0.196519086476019</v>
      </c>
      <c r="N19" s="9">
        <f t="shared" si="19"/>
        <v>0.138182121644055</v>
      </c>
      <c r="O19" s="9">
        <f t="shared" si="19"/>
        <v>0</v>
      </c>
    </row>
    <row r="20" spans="1:15">
      <c r="A20" s="6">
        <v>44774</v>
      </c>
      <c r="B20" s="7">
        <f t="shared" si="14"/>
        <v>11849191.7532346</v>
      </c>
      <c r="C20" s="8">
        <v>2906573.54102523</v>
      </c>
      <c r="D20" s="8">
        <v>4166630.58124646</v>
      </c>
      <c r="E20" s="8">
        <v>1433445.3502219</v>
      </c>
      <c r="F20" s="8">
        <v>3342542.28074097</v>
      </c>
      <c r="G20" s="8">
        <v>0</v>
      </c>
      <c r="I20" s="6">
        <v>44774</v>
      </c>
      <c r="J20" s="7">
        <f t="shared" si="15"/>
        <v>11849191.7532346</v>
      </c>
      <c r="K20" s="9">
        <f t="shared" ref="K20:O20" si="20">IFERROR(C20/$B20,0)</f>
        <v>0.245297198455059</v>
      </c>
      <c r="L20" s="9">
        <f t="shared" si="20"/>
        <v>0.351638379057294</v>
      </c>
      <c r="M20" s="9">
        <f t="shared" si="20"/>
        <v>0.120974103556945</v>
      </c>
      <c r="N20" s="9">
        <f t="shared" si="20"/>
        <v>0.282090318930701</v>
      </c>
      <c r="O20" s="9">
        <f t="shared" si="20"/>
        <v>0</v>
      </c>
    </row>
    <row r="21" spans="1:15">
      <c r="A21" s="6">
        <v>44805</v>
      </c>
      <c r="B21" s="7">
        <f t="shared" si="14"/>
        <v>10495753.8623529</v>
      </c>
      <c r="C21" s="8">
        <v>2178295.91129921</v>
      </c>
      <c r="D21" s="8">
        <v>1774037.17019853</v>
      </c>
      <c r="E21" s="8">
        <v>2402552.60023555</v>
      </c>
      <c r="F21" s="8">
        <v>4140868.18061964</v>
      </c>
      <c r="G21" s="8">
        <v>0</v>
      </c>
      <c r="I21" s="6">
        <v>44805</v>
      </c>
      <c r="J21" s="7">
        <f t="shared" si="15"/>
        <v>10495753.8623529</v>
      </c>
      <c r="K21" s="9">
        <f t="shared" ref="K21:O21" si="21">IFERROR(C21/$B21,0)</f>
        <v>0.207540681676283</v>
      </c>
      <c r="L21" s="9">
        <f t="shared" si="21"/>
        <v>0.169024273383716</v>
      </c>
      <c r="M21" s="9">
        <f t="shared" si="21"/>
        <v>0.228907102028491</v>
      </c>
      <c r="N21" s="9">
        <f t="shared" si="21"/>
        <v>0.39452794291151</v>
      </c>
      <c r="O21" s="9">
        <f t="shared" si="21"/>
        <v>0</v>
      </c>
    </row>
    <row r="22" spans="1:15">
      <c r="A22" s="6">
        <v>44835</v>
      </c>
      <c r="B22" s="7">
        <f t="shared" si="14"/>
        <v>10942533.5923534</v>
      </c>
      <c r="C22" s="8">
        <v>2894310.36115145</v>
      </c>
      <c r="D22" s="8">
        <v>1319452.59017167</v>
      </c>
      <c r="E22" s="8">
        <v>1403062.74041794</v>
      </c>
      <c r="F22" s="8">
        <v>3803571.17049764</v>
      </c>
      <c r="G22" s="8">
        <v>1522136.73011474</v>
      </c>
      <c r="I22" s="6">
        <v>44835</v>
      </c>
      <c r="J22" s="7">
        <f t="shared" si="15"/>
        <v>10942533.5923534</v>
      </c>
      <c r="K22" s="9">
        <f t="shared" ref="K22:O22" si="22">IFERROR(C22/$B22,0)</f>
        <v>0.264500934516114</v>
      </c>
      <c r="L22" s="9">
        <f t="shared" si="22"/>
        <v>0.120580172684477</v>
      </c>
      <c r="M22" s="9">
        <f t="shared" si="22"/>
        <v>0.128221012855596</v>
      </c>
      <c r="N22" s="9">
        <f t="shared" si="22"/>
        <v>0.347595110254498</v>
      </c>
      <c r="O22" s="9">
        <f t="shared" si="22"/>
        <v>0.139102769689316</v>
      </c>
    </row>
    <row r="23" spans="1:15">
      <c r="A23" s="6">
        <v>44866</v>
      </c>
      <c r="B23" s="7">
        <f t="shared" si="14"/>
        <v>13400858.3544945</v>
      </c>
      <c r="C23" s="8">
        <v>3252521.61156486</v>
      </c>
      <c r="D23" s="8">
        <v>2422647.63887558</v>
      </c>
      <c r="E23" s="8">
        <v>937420.570062064</v>
      </c>
      <c r="F23" s="8">
        <v>4608061.33371539</v>
      </c>
      <c r="G23" s="8">
        <v>2180207.20027664</v>
      </c>
      <c r="I23" s="6">
        <v>44866</v>
      </c>
      <c r="J23" s="7">
        <f t="shared" si="15"/>
        <v>13400858.3544945</v>
      </c>
      <c r="K23" s="9">
        <f t="shared" ref="K23:O23" si="23">IFERROR(C23/$B23,0)</f>
        <v>0.24270994629788</v>
      </c>
      <c r="L23" s="9">
        <f t="shared" si="23"/>
        <v>0.180783019623743</v>
      </c>
      <c r="M23" s="9">
        <f t="shared" si="23"/>
        <v>0.0699522780753563</v>
      </c>
      <c r="N23" s="9">
        <f t="shared" si="23"/>
        <v>0.343863147555014</v>
      </c>
      <c r="O23" s="9">
        <f t="shared" si="23"/>
        <v>0.162691608448008</v>
      </c>
    </row>
    <row r="24" spans="1:15">
      <c r="A24" s="6">
        <v>44896</v>
      </c>
      <c r="B24" s="7">
        <f t="shared" si="14"/>
        <v>15258929.9142797</v>
      </c>
      <c r="C24" s="8">
        <v>2753173.18996686</v>
      </c>
      <c r="D24" s="8">
        <v>2952210.67099827</v>
      </c>
      <c r="E24" s="8">
        <v>1103806.59032509</v>
      </c>
      <c r="F24" s="8">
        <v>5142806.50268109</v>
      </c>
      <c r="G24" s="8">
        <v>3306932.96030836</v>
      </c>
      <c r="I24" s="6">
        <v>44896</v>
      </c>
      <c r="J24" s="7">
        <f t="shared" si="15"/>
        <v>15258929.9142797</v>
      </c>
      <c r="K24" s="9">
        <f t="shared" ref="K24:O24" si="24">IFERROR(C24/$B24,0)</f>
        <v>0.180430292650494</v>
      </c>
      <c r="L24" s="9">
        <f t="shared" si="24"/>
        <v>0.193474292600002</v>
      </c>
      <c r="M24" s="9">
        <f t="shared" si="24"/>
        <v>0.0723384009577317</v>
      </c>
      <c r="N24" s="9">
        <f t="shared" si="24"/>
        <v>0.337035855828155</v>
      </c>
      <c r="O24" s="9">
        <f t="shared" si="24"/>
        <v>0.216721157963617</v>
      </c>
    </row>
    <row r="25" spans="1:15">
      <c r="A25" s="6">
        <v>44927</v>
      </c>
      <c r="B25" s="7">
        <f t="shared" si="14"/>
        <v>18276742.8233353</v>
      </c>
      <c r="C25" s="8">
        <v>3024628.88019842</v>
      </c>
      <c r="D25" s="8">
        <v>4530061.69930018</v>
      </c>
      <c r="E25" s="8">
        <v>1582011.76025868</v>
      </c>
      <c r="F25" s="8">
        <v>3437246.61087767</v>
      </c>
      <c r="G25" s="8">
        <v>5702793.87270037</v>
      </c>
      <c r="I25" s="6">
        <v>44927</v>
      </c>
      <c r="J25" s="7">
        <f t="shared" si="15"/>
        <v>18276742.8233353</v>
      </c>
      <c r="K25" s="9">
        <f t="shared" ref="K25:O25" si="25">IFERROR(C25/$B25,0)</f>
        <v>0.16549058601058</v>
      </c>
      <c r="L25" s="9">
        <f t="shared" si="25"/>
        <v>0.247859355635092</v>
      </c>
      <c r="M25" s="9">
        <f t="shared" si="25"/>
        <v>0.0865587361791185</v>
      </c>
      <c r="N25" s="9">
        <f t="shared" si="25"/>
        <v>0.188066694602119</v>
      </c>
      <c r="O25" s="9">
        <f t="shared" si="25"/>
        <v>0.312024627573091</v>
      </c>
    </row>
    <row r="26" spans="1:15">
      <c r="A26" s="6">
        <v>44958</v>
      </c>
      <c r="B26" s="7">
        <f t="shared" si="14"/>
        <v>18700339.3314802</v>
      </c>
      <c r="C26" s="8">
        <v>3526821.3583757</v>
      </c>
      <c r="D26" s="8">
        <v>3455629.48960056</v>
      </c>
      <c r="E26" s="8">
        <v>3856710.69037558</v>
      </c>
      <c r="F26" s="8">
        <v>2545359.54030062</v>
      </c>
      <c r="G26" s="8">
        <v>5315818.25282776</v>
      </c>
      <c r="I26" s="6">
        <v>44958</v>
      </c>
      <c r="J26" s="7">
        <f t="shared" si="15"/>
        <v>18700339.3314802</v>
      </c>
      <c r="K26" s="9">
        <f t="shared" ref="K26:O26" si="26">IFERROR(C26/$B26,0)</f>
        <v>0.188596650352683</v>
      </c>
      <c r="L26" s="9">
        <f t="shared" si="26"/>
        <v>0.184789667628295</v>
      </c>
      <c r="M26" s="9">
        <f t="shared" si="26"/>
        <v>0.206237470989801</v>
      </c>
      <c r="N26" s="9">
        <f t="shared" si="26"/>
        <v>0.136113013522474</v>
      </c>
      <c r="O26" s="9">
        <f t="shared" si="26"/>
        <v>0.284263197506748</v>
      </c>
    </row>
    <row r="27" spans="1:15">
      <c r="A27" s="10">
        <v>44986</v>
      </c>
      <c r="B27" s="7">
        <f t="shared" si="14"/>
        <v>25037698.0738126</v>
      </c>
      <c r="C27" s="8">
        <v>2727451.83093454</v>
      </c>
      <c r="D27" s="8">
        <v>5357501.09718857</v>
      </c>
      <c r="E27" s="8">
        <v>2403373.87904484</v>
      </c>
      <c r="F27" s="8">
        <v>6634496.15238364</v>
      </c>
      <c r="G27" s="8">
        <v>7914875.114261</v>
      </c>
      <c r="I27" s="10">
        <v>44986</v>
      </c>
      <c r="J27" s="7">
        <f t="shared" si="15"/>
        <v>25037698.0738126</v>
      </c>
      <c r="K27" s="9">
        <f t="shared" ref="K27:O27" si="27">IFERROR(C27/$B27,0)</f>
        <v>0.108933809445815</v>
      </c>
      <c r="L27" s="9">
        <f t="shared" si="27"/>
        <v>0.213977382481183</v>
      </c>
      <c r="M27" s="9">
        <f t="shared" si="27"/>
        <v>0.0959902093219414</v>
      </c>
      <c r="N27" s="9">
        <f t="shared" si="27"/>
        <v>0.26498027625482</v>
      </c>
      <c r="O27" s="9">
        <f t="shared" si="27"/>
        <v>0.316118322496241</v>
      </c>
    </row>
  </sheetData>
  <conditionalFormatting sqref="C2:G2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O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G3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O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G4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O4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G5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O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G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O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G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7:O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G8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:O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G9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:O9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G10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:O1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G11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:O1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G12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2:O1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G13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:O1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G16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6:O1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G17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7:O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G1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8:O1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G19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9:O1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G20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0:O2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:G2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1:O2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:G2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2:O2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G23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3:O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G2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4:O2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G2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5:O2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G2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6:O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G2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7:O2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3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{aadf01bd-c3c6-4662-abb5-66d3fb8a6f7e}</x14:id>
        </ext>
      </extLst>
    </cfRule>
  </conditionalFormatting>
  <conditionalFormatting sqref="B16:B2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{ec26ac74-af8d-4960-b950-0a096c29c59a}</x14:id>
        </ext>
      </extLst>
    </cfRule>
  </conditionalFormatting>
  <printOptions horizontalCentered="1" verticalCentered="1"/>
  <pageMargins left="0.75" right="0.75" top="1" bottom="1" header="0.5" footer="0.5"/>
  <pageSetup paperSize="1" scale="64" orientation="landscape" horizontalDpi="6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df01bd-c3c6-4662-abb5-66d3fb8a6f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B2:B13</xm:sqref>
        </x14:conditionalFormatting>
        <x14:conditionalFormatting xmlns:xm="http://schemas.microsoft.com/office/excel/2006/main">
          <x14:cfRule type="dataBar" id="{ec26ac74-af8d-4960-b950-0a096c29c5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B16:B27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Monthly_Cohort_&amp;_Matrix</vt:lpstr>
      <vt:lpstr>Monthly_Retention_Numbers</vt:lpstr>
      <vt:lpstr>Monthly_Retention_Trend</vt:lpstr>
      <vt:lpstr>Users_Age_Bifurcation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Kumar</dc:creator>
  <cp:lastModifiedBy>Harsh Kumar</cp:lastModifiedBy>
  <dcterms:created xsi:type="dcterms:W3CDTF">2026-05-07T13:38:00Z</dcterms:created>
  <dcterms:modified xsi:type="dcterms:W3CDTF">2026-05-18T14:45:37Z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E5AF7D3BC51A4E2BB031F63A0CE172E5_11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